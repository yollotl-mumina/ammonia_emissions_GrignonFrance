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zuni\OneDrive\Escritorio\INTERNSHIP\"/>
    </mc:Choice>
  </mc:AlternateContent>
  <xr:revisionPtr revIDLastSave="0" documentId="13_ncr:1_{EE1632DE-2192-4E21-AF16-C0356C20317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onnees_plates" sheetId="1" r:id="rId1"/>
    <sheet name="Listes" sheetId="2" state="hidden" r:id="rId2"/>
    <sheet name="Dictionnaire_colonnes" sheetId="3" r:id="rId3"/>
    <sheet name="Notes_Weka" sheetId="4" r:id="rId4"/>
  </sheets>
  <definedNames>
    <definedName name="_xlnm._FilterDatabase" localSheetId="0" hidden="1">Donnees_plates!$A$4:$AH$156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6" i="1" l="1"/>
  <c r="I140" i="1"/>
  <c r="I143" i="1"/>
  <c r="I147" i="1"/>
  <c r="I145" i="1"/>
  <c r="I144" i="1"/>
  <c r="I134" i="1"/>
  <c r="I155" i="1"/>
  <c r="I101" i="1"/>
  <c r="I154" i="1"/>
  <c r="I100" i="1"/>
  <c r="I42" i="1"/>
  <c r="I38" i="1"/>
  <c r="I37" i="1"/>
  <c r="I35" i="1"/>
  <c r="I34" i="1"/>
  <c r="I32" i="1"/>
  <c r="I31" i="1"/>
  <c r="I30" i="1"/>
  <c r="I29" i="1"/>
  <c r="I118" i="1"/>
  <c r="I152" i="1"/>
  <c r="I137" i="1"/>
  <c r="I153" i="1"/>
  <c r="I9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000-000001000000}">
      <text>
        <r>
          <rPr>
            <sz val="10"/>
            <rFont val="Arial"/>
            <family val="2"/>
          </rPr>
          <t>Rôle : id
Type Weka : string
Unité : —</t>
        </r>
      </text>
    </comment>
    <comment ref="B4" authorId="0" shapeId="0" xr:uid="{00000000-0006-0000-0000-000002000000}">
      <text>
        <r>
          <rPr>
            <sz val="10"/>
            <rFont val="Arial"/>
            <family val="2"/>
          </rPr>
          <t>Rôle : id
Type Weka : nominal
Unité : —</t>
        </r>
      </text>
    </comment>
    <comment ref="C4" authorId="0" shapeId="0" xr:uid="{00000000-0006-0000-0000-000003000000}">
      <text>
        <r>
          <rPr>
            <sz val="10"/>
            <rFont val="Arial"/>
            <family val="2"/>
          </rPr>
          <t>Rôle : id
Type Weka : string
Unité : —</t>
        </r>
      </text>
    </comment>
    <comment ref="D4" authorId="0" shapeId="0" xr:uid="{00000000-0006-0000-0000-000004000000}">
      <text>
        <r>
          <rPr>
            <sz val="10"/>
            <rFont val="Arial"/>
            <family val="2"/>
          </rPr>
          <t>Rôle : id
Type Weka : numeric
Unité : année</t>
        </r>
      </text>
    </comment>
    <comment ref="E4" authorId="0" shapeId="0" xr:uid="{00000000-0006-0000-0000-000005000000}">
      <text>
        <r>
          <rPr>
            <sz val="10"/>
            <rFont val="Arial"/>
            <family val="2"/>
          </rPr>
          <t>Rôle : id
Type Weka : date
Unité : date</t>
        </r>
      </text>
    </comment>
    <comment ref="F4" authorId="0" shapeId="0" xr:uid="{00000000-0006-0000-0000-000006000000}">
      <text>
        <r>
          <rPr>
            <sz val="10"/>
            <rFont val="Arial"/>
            <family val="2"/>
          </rPr>
          <t>Rôle : prédicteur
Type Weka : nominal
Unité : —</t>
        </r>
      </text>
    </comment>
    <comment ref="G4" authorId="0" shapeId="0" xr:uid="{00000000-0006-0000-0000-000007000000}">
      <text>
        <r>
          <rPr>
            <sz val="10"/>
            <rFont val="Arial"/>
            <family val="2"/>
          </rPr>
          <t>Rôle : prédicteur
Type Weka : nominal
Unité : —</t>
        </r>
      </text>
    </comment>
    <comment ref="H4" authorId="0" shapeId="0" xr:uid="{00000000-0006-0000-0000-000008000000}">
      <text>
        <r>
          <rPr>
            <sz val="10"/>
            <rFont val="Arial"/>
            <family val="2"/>
          </rPr>
          <t>Rôle : prédicteur
Type Weka : numeric
Unité : kg N/ha</t>
        </r>
      </text>
    </comment>
    <comment ref="I4" authorId="0" shapeId="0" xr:uid="{00000000-0006-0000-0000-000009000000}">
      <text>
        <r>
          <rPr>
            <sz val="10"/>
            <rFont val="Arial"/>
            <family val="2"/>
          </rPr>
          <t>Rôle : prédicteur
Type Weka : numeric
Unité : kg N-NH4/ha</t>
        </r>
      </text>
    </comment>
    <comment ref="J4" authorId="0" shapeId="0" xr:uid="{00000000-0006-0000-0000-00000A000000}">
      <text>
        <r>
          <rPr>
            <sz val="10"/>
            <rFont val="Arial"/>
            <family val="2"/>
          </rPr>
          <t>Rôle : prédicteur
Type Weka : nominal
Unité : —</t>
        </r>
      </text>
    </comment>
    <comment ref="K4" authorId="0" shapeId="0" xr:uid="{00000000-0006-0000-0000-00000B000000}">
      <text>
        <r>
          <rPr>
            <sz val="10"/>
            <rFont val="Arial"/>
            <family val="2"/>
          </rPr>
          <t>Rôle : prédicteur
Type Weka : nominal
Unité : Oui/Non</t>
        </r>
      </text>
    </comment>
    <comment ref="L4" authorId="0" shapeId="0" xr:uid="{00000000-0006-0000-0000-00000C000000}">
      <text>
        <r>
          <rPr>
            <sz val="10"/>
            <rFont val="Arial"/>
            <family val="2"/>
          </rPr>
          <t>Rôle : prédicteur
Type Weka : numeric
Unité : h</t>
        </r>
      </text>
    </comment>
    <comment ref="M4" authorId="0" shapeId="0" xr:uid="{00000000-0006-0000-0000-00000D000000}">
      <text>
        <r>
          <rPr>
            <sz val="10"/>
            <rFont val="Arial"/>
            <family val="2"/>
          </rPr>
          <t>Rôle : prédicteur
Type Weka : numeric
Unité : 0-1</t>
        </r>
      </text>
    </comment>
    <comment ref="N4" authorId="0" shapeId="0" xr:uid="{00000000-0006-0000-0000-00000E000000}">
      <text>
        <r>
          <rPr>
            <sz val="10"/>
            <rFont val="Arial"/>
            <family val="2"/>
          </rPr>
          <t>Rôle : prédicteur
Type Weka : numeric
Unité : 0-1</t>
        </r>
      </text>
    </comment>
    <comment ref="O4" authorId="0" shapeId="0" xr:uid="{00000000-0006-0000-0000-00000F000000}">
      <text>
        <r>
          <rPr>
            <sz val="10"/>
            <rFont val="Arial"/>
            <family val="2"/>
          </rPr>
          <t>Rôle : prédicteur
Type Weka : numeric
Unité : 0-1</t>
        </r>
      </text>
    </comment>
    <comment ref="P4" authorId="0" shapeId="0" xr:uid="{00000000-0006-0000-0000-000010000000}">
      <text>
        <r>
          <rPr>
            <sz val="10"/>
            <rFont val="Arial"/>
            <family val="2"/>
          </rPr>
          <t>Rôle : prédicteur
Type Weka : numeric
Unité : %</t>
        </r>
      </text>
    </comment>
    <comment ref="Q4" authorId="0" shapeId="0" xr:uid="{00000000-0006-0000-0000-000011000000}">
      <text>
        <r>
          <rPr>
            <sz val="10"/>
            <rFont val="Arial"/>
            <family val="2"/>
          </rPr>
          <t>Rôle : prédicteur
Type Weka : numeric
Unité : —</t>
        </r>
      </text>
    </comment>
    <comment ref="R4" authorId="0" shapeId="0" xr:uid="{00000000-0006-0000-0000-000012000000}">
      <text>
        <r>
          <rPr>
            <sz val="10"/>
            <rFont val="Arial"/>
            <family val="2"/>
          </rPr>
          <t>Rôle : prédicteur
Type Weka : numeric
Unité : —</t>
        </r>
      </text>
    </comment>
    <comment ref="S4" authorId="0" shapeId="0" xr:uid="{00000000-0006-0000-0000-000013000000}">
      <text>
        <r>
          <rPr>
            <sz val="10"/>
            <rFont val="Arial"/>
            <family val="2"/>
          </rPr>
          <t>Rôle : prédicteur
Type Weka : numeric
Unité : g/kg</t>
        </r>
      </text>
    </comment>
    <comment ref="T4" authorId="0" shapeId="0" xr:uid="{00000000-0006-0000-0000-000014000000}">
      <text>
        <r>
          <rPr>
            <sz val="10"/>
            <rFont val="Arial"/>
            <family val="2"/>
          </rPr>
          <t>Rôle : prédicteur
Type Weka : numeric
Unité : cmol+/kg</t>
        </r>
      </text>
    </comment>
    <comment ref="U4" authorId="0" shapeId="0" xr:uid="{00000000-0006-0000-0000-000015000000}">
      <text>
        <r>
          <rPr>
            <sz val="10"/>
            <rFont val="Arial"/>
            <family val="2"/>
          </rPr>
          <t>Rôle : prédicteur
Type Weka : numeric
Unité : %</t>
        </r>
      </text>
    </comment>
    <comment ref="V4" authorId="0" shapeId="0" xr:uid="{00000000-0006-0000-0000-000016000000}">
      <text>
        <r>
          <rPr>
            <sz val="10"/>
            <rFont val="Arial"/>
            <family val="2"/>
          </rPr>
          <t>Rôle : prédicteur
Type Weka : numeric
Unité : %</t>
        </r>
      </text>
    </comment>
    <comment ref="W4" authorId="0" shapeId="0" xr:uid="{00000000-0006-0000-0000-000017000000}">
      <text>
        <r>
          <rPr>
            <sz val="10"/>
            <rFont val="Arial"/>
            <family val="2"/>
          </rPr>
          <t>Rôle : prédicteur
Type Weka : numeric
Unité : %</t>
        </r>
      </text>
    </comment>
    <comment ref="X4" authorId="0" shapeId="0" xr:uid="{00000000-0006-0000-0000-000018000000}">
      <text>
        <r>
          <rPr>
            <sz val="10"/>
            <rFont val="Arial"/>
            <family val="2"/>
          </rPr>
          <t>Rôle : prédicteur
Type Weka : numeric
Unité : g/kg</t>
        </r>
      </text>
    </comment>
    <comment ref="Y4" authorId="0" shapeId="0" xr:uid="{00000000-0006-0000-0000-000019000000}">
      <text>
        <r>
          <rPr>
            <sz val="10"/>
            <rFont val="Arial"/>
            <family val="2"/>
          </rPr>
          <t>Rôle : prédicteur
Type Weka : numeric
Unité : % ou m3/m3</t>
        </r>
      </text>
    </comment>
    <comment ref="Z4" authorId="0" shapeId="0" xr:uid="{00000000-0006-0000-0000-00001B000000}">
      <text>
        <r>
          <rPr>
            <sz val="10"/>
            <rFont val="Arial"/>
            <family val="2"/>
          </rPr>
          <t>Rôle : prédicteur
Type Weka : numeric
Unité : g/cm3</t>
        </r>
      </text>
    </comment>
    <comment ref="AA4" authorId="0" shapeId="0" xr:uid="{00000000-0006-0000-0000-00001C000000}">
      <text>
        <r>
          <rPr>
            <sz val="10"/>
            <rFont val="Arial"/>
            <family val="2"/>
          </rPr>
          <t>Rôle : prédicteur
Type Weka : numeric
Unité : °C</t>
        </r>
      </text>
    </comment>
    <comment ref="AB4" authorId="0" shapeId="0" xr:uid="{00000000-0006-0000-0000-00001D000000}">
      <text>
        <r>
          <rPr>
            <sz val="10"/>
            <rFont val="Arial"/>
            <family val="2"/>
          </rPr>
          <t>Rôle : prédicteur
Type Weka : numeric
Unité : m/s</t>
        </r>
      </text>
    </comment>
    <comment ref="AC4" authorId="0" shapeId="0" xr:uid="{00000000-0006-0000-0000-00001E000000}">
      <text>
        <r>
          <rPr>
            <sz val="10"/>
            <rFont val="Arial"/>
            <family val="2"/>
          </rPr>
          <t>Rôle : prédicteur
Type Weka : numeric
Unité : mm</t>
        </r>
      </text>
    </comment>
    <comment ref="AD4" authorId="0" shapeId="0" xr:uid="{00000000-0006-0000-0000-00001F000000}">
      <text>
        <r>
          <rPr>
            <sz val="10"/>
            <rFont val="Arial"/>
            <family val="2"/>
          </rPr>
          <t>Rôle : prédicteur
Type Weka : numeric
Unité : mm/h</t>
        </r>
      </text>
    </comment>
    <comment ref="AE4" authorId="0" shapeId="0" xr:uid="{00000000-0006-0000-0000-000020000000}">
      <text>
        <r>
          <rPr>
            <sz val="10"/>
            <rFont val="Arial"/>
            <family val="2"/>
          </rPr>
          <t>Rôle : prédicteur
Type Weka : numeric
Unité : %</t>
        </r>
      </text>
    </comment>
    <comment ref="AF4" authorId="0" shapeId="0" xr:uid="{00000000-0006-0000-0000-000021000000}">
      <text>
        <r>
          <rPr>
            <sz val="10"/>
            <rFont val="Arial"/>
            <family val="2"/>
          </rPr>
          <t>Rôle : prédicteur
Type Weka : numeric
Unité : W/m2 ou MJ/m2/j</t>
        </r>
      </text>
    </comment>
    <comment ref="AG4" authorId="0" shapeId="0" xr:uid="{00000000-0006-0000-0000-000022000000}">
      <text>
        <r>
          <rPr>
            <sz val="10"/>
            <rFont val="Arial"/>
            <family val="2"/>
          </rPr>
          <t>Rôle : CIBLE
Type Weka : numeric
Unité : kg NH3-N/ha</t>
        </r>
      </text>
    </comment>
    <comment ref="AH4" authorId="0" shapeId="0" xr:uid="{00000000-0006-0000-0000-000023000000}">
      <text>
        <r>
          <rPr>
            <sz val="10"/>
            <rFont val="Arial"/>
            <family val="2"/>
          </rPr>
          <t>Rôle : CIBLE (alt.)
Type Weka : numeric
Unité : % du TAN</t>
        </r>
      </text>
    </comment>
  </commentList>
</comments>
</file>

<file path=xl/sharedStrings.xml><?xml version="1.0" encoding="utf-8"?>
<sst xmlns="http://schemas.openxmlformats.org/spreadsheetml/2006/main" count="1214" uniqueCount="219">
  <si>
    <t>Table analytique plane — 1 ligne = 1 événement de fertilisation (prête pour export CSV/ARFF → Weka)</t>
  </si>
  <si>
    <t>ID_evenement</t>
  </si>
  <si>
    <t>Systeme</t>
  </si>
  <si>
    <t>Parcelle</t>
  </si>
  <si>
    <t>Annee</t>
  </si>
  <si>
    <t>Date</t>
  </si>
  <si>
    <t>Categorie</t>
  </si>
  <si>
    <t>N_total_kgNha</t>
  </si>
  <si>
    <t>TAN_kgNha</t>
  </si>
  <si>
    <t>Methode_application</t>
  </si>
  <si>
    <t>Incorporation</t>
  </si>
  <si>
    <t>Delai_incorp_h</t>
  </si>
  <si>
    <t>frac_N_NH4</t>
  </si>
  <si>
    <t>frac_N_ureique</t>
  </si>
  <si>
    <t>frac_N_NO3</t>
  </si>
  <si>
    <t>MS_pct</t>
  </si>
  <si>
    <t>pH_produit</t>
  </si>
  <si>
    <t>pH_sol</t>
  </si>
  <si>
    <t>CaCO3_gkg</t>
  </si>
  <si>
    <t>CIC_cmolkg</t>
  </si>
  <si>
    <t>Corg_gkg</t>
  </si>
  <si>
    <t>Humidite_sol</t>
  </si>
  <si>
    <t>Densite_gcm3</t>
  </si>
  <si>
    <t>Temp_air_C</t>
  </si>
  <si>
    <t>Vent_ms</t>
  </si>
  <si>
    <t>Precip_mm</t>
  </si>
  <si>
    <t>HR_pct</t>
  </si>
  <si>
    <t>Rayonnement</t>
  </si>
  <si>
    <t>NH3_emis_kgNha</t>
  </si>
  <si>
    <t>NH3_emis_pctTAN</t>
  </si>
  <si>
    <t>Lisier 2u</t>
  </si>
  <si>
    <t>Lisier</t>
  </si>
  <si>
    <t>Épandage en surface</t>
  </si>
  <si>
    <t>Oui</t>
  </si>
  <si>
    <t>Lisier 3u</t>
  </si>
  <si>
    <t>Digestat liquide</t>
  </si>
  <si>
    <t>Pendillard</t>
  </si>
  <si>
    <t>Non</t>
  </si>
  <si>
    <t>Lisier 4u</t>
  </si>
  <si>
    <t>Fumier solide</t>
  </si>
  <si>
    <t>Sabots / trailing shoe</t>
  </si>
  <si>
    <t>Digestat liquide 5u</t>
  </si>
  <si>
    <t>Solution azotée (UAN)</t>
  </si>
  <si>
    <t>Injection ouverte</t>
  </si>
  <si>
    <t>Digestat liquide 4u</t>
  </si>
  <si>
    <t>Ammonitrate</t>
  </si>
  <si>
    <t>Injection fermée</t>
  </si>
  <si>
    <t>Fumier bovin</t>
  </si>
  <si>
    <t>Urée</t>
  </si>
  <si>
    <t>Incorporation &lt; 4 h</t>
  </si>
  <si>
    <t>Fumier ovin</t>
  </si>
  <si>
    <t>Entec</t>
  </si>
  <si>
    <t>Incorporation &lt; 24 h</t>
  </si>
  <si>
    <t>Fumier pailleux</t>
  </si>
  <si>
    <t>Thiosulfate</t>
  </si>
  <si>
    <t>Épandage solide minéral</t>
  </si>
  <si>
    <t>Solution 36N.6S</t>
  </si>
  <si>
    <t>Autre organique</t>
  </si>
  <si>
    <t>Application liquide minérale</t>
  </si>
  <si>
    <t>Solution 39</t>
  </si>
  <si>
    <t>Additif</t>
  </si>
  <si>
    <t>Solution 39 + Thiosulfate</t>
  </si>
  <si>
    <t>Oligo/biostimulant</t>
  </si>
  <si>
    <t>Solution 38N.14,5S</t>
  </si>
  <si>
    <t>Ammonitrate 27</t>
  </si>
  <si>
    <t>Ammonitrate 24</t>
  </si>
  <si>
    <t>Organic_fertilizer</t>
  </si>
  <si>
    <t>Entec 26</t>
  </si>
  <si>
    <t>Entec 24</t>
  </si>
  <si>
    <t>Solution 35N</t>
  </si>
  <si>
    <t>Solution 30N.18S</t>
  </si>
  <si>
    <t>Solution 28N.24S</t>
  </si>
  <si>
    <t>Thiosulfate 13N - 64S</t>
  </si>
  <si>
    <t>Bore</t>
  </si>
  <si>
    <t>BlueN</t>
  </si>
  <si>
    <t>Trichofield</t>
  </si>
  <si>
    <t>Autre (inhibiteur)</t>
  </si>
  <si>
    <t>EPSO Top</t>
  </si>
  <si>
    <t>Solution 34N.8S</t>
  </si>
  <si>
    <t>Solution 36N.8S</t>
  </si>
  <si>
    <t>Solution 36N.4S</t>
  </si>
  <si>
    <t>Solution 38N.14S</t>
  </si>
  <si>
    <t>Dictionnaire des colonnes</t>
  </si>
  <si>
    <t>Colonne</t>
  </si>
  <si>
    <t>Rôle</t>
  </si>
  <si>
    <t>Type Weka</t>
  </si>
  <si>
    <t>Unité</t>
  </si>
  <si>
    <t>id</t>
  </si>
  <si>
    <t>string</t>
  </si>
  <si>
    <t>—</t>
  </si>
  <si>
    <t>nominal</t>
  </si>
  <si>
    <t>numeric</t>
  </si>
  <si>
    <t>année</t>
  </si>
  <si>
    <t>date</t>
  </si>
  <si>
    <t>kg N/ha</t>
  </si>
  <si>
    <t>kg N-NH4/ha</t>
  </si>
  <si>
    <t>Oui/Non</t>
  </si>
  <si>
    <t>h</t>
  </si>
  <si>
    <t>0-1</t>
  </si>
  <si>
    <t>%</t>
  </si>
  <si>
    <t>g/kg</t>
  </si>
  <si>
    <t>cmol+/kg</t>
  </si>
  <si>
    <t>% ou m3/m3</t>
  </si>
  <si>
    <t>°C</t>
  </si>
  <si>
    <t>g/cm3</t>
  </si>
  <si>
    <t>m/s</t>
  </si>
  <si>
    <t>mm</t>
  </si>
  <si>
    <t>mm/h</t>
  </si>
  <si>
    <t>W/m2 ou MJ/m2/j</t>
  </si>
  <si>
    <t>CIBLE</t>
  </si>
  <si>
    <t>kg NH3-N/ha</t>
  </si>
  <si>
    <t>CIBLE (alt.)</t>
  </si>
  <si>
    <t>% du TAN</t>
  </si>
  <si>
    <t>Préparation pour Weka</t>
  </si>
  <si>
    <t>2. Choisir UNE seule cible (NH3_emis_kgNha OU NH3_emis_pctTAN) ; supprimer l'autre colonne.</t>
  </si>
  <si>
    <t>3. Retirer les colonnes 'id' (ID, Systeme, Parcelle, Date) ou les ignorer via le filtre Remove de Weka.</t>
  </si>
  <si>
    <t>4. Exporter en CSV (Fichier &gt; Enregistrer sous &gt; .csv), puis ouvrir dans Weka Explorer (il convertit en ARFF),</t>
  </si>
  <si>
    <t xml:space="preserve">   ou utiliser directement le squelette 'modele_NH3.arff' fourni.</t>
  </si>
  <si>
    <t>5. Valeurs manquantes : laisser vide en CSV ; en ARFF, utiliser '?'.</t>
  </si>
  <si>
    <t>6. La cible étant numérique → régression : M5P, M5Rules, REPTree, LinearRegression. Évaluer en validation croisée.</t>
  </si>
  <si>
    <t>7. Vérifier que les attributs nominaux (Produit, Categorie, Methode, Incorporation) n'ont pas de fautes de frappe</t>
  </si>
  <si>
    <t xml:space="preserve">   (les menus déroulants y aident) : Weka traite chaque libellé distinct comme une modalité différente.</t>
  </si>
  <si>
    <t>System</t>
  </si>
  <si>
    <t>Year</t>
  </si>
  <si>
    <t>Product</t>
  </si>
  <si>
    <t>Category</t>
  </si>
  <si>
    <t>N_total</t>
  </si>
  <si>
    <t>TAN</t>
  </si>
  <si>
    <t>Method_application</t>
  </si>
  <si>
    <t>Delai</t>
  </si>
  <si>
    <t>pH_product</t>
  </si>
  <si>
    <t>pH_soil</t>
  </si>
  <si>
    <t>Dry_Matter</t>
  </si>
  <si>
    <t>CaCO3</t>
  </si>
  <si>
    <t>CIC</t>
  </si>
  <si>
    <t>Clay</t>
  </si>
  <si>
    <t>Lime</t>
  </si>
  <si>
    <t>Sand</t>
  </si>
  <si>
    <t>CO</t>
  </si>
  <si>
    <t>Soil_moisture</t>
  </si>
  <si>
    <t>Temp_soil</t>
  </si>
  <si>
    <t>Density</t>
  </si>
  <si>
    <t>Temp_air</t>
  </si>
  <si>
    <t>Wind</t>
  </si>
  <si>
    <t>Precip</t>
  </si>
  <si>
    <t>Intensity_rain</t>
  </si>
  <si>
    <t>HR</t>
  </si>
  <si>
    <t>Radiation</t>
  </si>
  <si>
    <t>Gris = identifiants (à retirer avant de modéliser). Clair = predictors. Orange = variable cible (garder UNE seule pour Weka).</t>
  </si>
  <si>
    <t>predictor</t>
  </si>
  <si>
    <t>1. Remplir 'Donnees_plates' : une ligne par événement de fertilisation, predictors joints + cible mesurée.</t>
  </si>
  <si>
    <t>VOLTAIR</t>
  </si>
  <si>
    <t>ALFAM2</t>
  </si>
  <si>
    <t>EMEP/EA</t>
  </si>
  <si>
    <t>Description</t>
  </si>
  <si>
    <t>Identificador único del evento de fertilización</t>
  </si>
  <si>
    <t>Sistema de cultivo (1–7)</t>
  </si>
  <si>
    <t>Parcela</t>
  </si>
  <si>
    <t>Año del evento</t>
  </si>
  <si>
    <t>Fecha de la operación</t>
  </si>
  <si>
    <t>Producto fertilizante aplicado</t>
  </si>
  <si>
    <t>Categoría del fertilizante</t>
  </si>
  <si>
    <t>Nitrógeno total aplicado</t>
  </si>
  <si>
    <t>Nitrógeno amoniacal total aplicado</t>
  </si>
  <si>
    <t>Método de aplicación</t>
  </si>
  <si>
    <t>Si hubo incorporación al suelo</t>
  </si>
  <si>
    <t>Tiempo hasta la incorporación</t>
  </si>
  <si>
    <t>Fracción del N en forma amoniacal (TAN)</t>
  </si>
  <si>
    <t>Fracción del N en forma ureica</t>
  </si>
  <si>
    <t>Fracción del N en forma nítrica</t>
  </si>
  <si>
    <t>Materia seca del producto</t>
  </si>
  <si>
    <t>pH del producto</t>
  </si>
  <si>
    <t>pH del suelo</t>
  </si>
  <si>
    <t>Carbonato de calcio del suelo</t>
  </si>
  <si>
    <t>Capacidad de intercambio catiónico</t>
  </si>
  <si>
    <t>Arcilla</t>
  </si>
  <si>
    <t>Limo</t>
  </si>
  <si>
    <t>Arena</t>
  </si>
  <si>
    <t>Carbono orgánico del suelo</t>
  </si>
  <si>
    <t>Humedad del suelo</t>
  </si>
  <si>
    <t>Temperatura del suelo</t>
  </si>
  <si>
    <t>Densidad aparente del suelo</t>
  </si>
  <si>
    <t>Temperatura del aire</t>
  </si>
  <si>
    <t>Velocidad del viento</t>
  </si>
  <si>
    <t>Precipitación</t>
  </si>
  <si>
    <t>Intensidad de la lluvia</t>
  </si>
  <si>
    <t>Humedad relativa del aire</t>
  </si>
  <si>
    <t>Radiación</t>
  </si>
  <si>
    <t>Emisión de NH₃ medida (variable respuesta)</t>
  </si>
  <si>
    <t>Emisión como % del TAN volatilizado (objetivo alternativo)</t>
  </si>
  <si>
    <t>Para inventario de NH3 por sistema y año (kg N-NH3/ha o totales), comparar sistemas de cultivo y practicas y una vase lista para analisis de sensibilidad.</t>
  </si>
  <si>
    <t>Emision acumulada y curva temporal tras aplicar purin/digestato; FE especificos por metodo y condiciones (mejor que el FE fijo de EMEP); evaluar mitigacion al cambiar la tecnica de eaplicacion.</t>
  </si>
  <si>
    <t>No capta la dinamica temporal ni el efecto fino de suelo/clima</t>
  </si>
  <si>
    <t>no sirve para minerales ni fumier solido y necesita datos meteorologicos</t>
  </si>
  <si>
    <t>Enorme demanda de datos y calibracion</t>
  </si>
  <si>
    <t>Dinamica fina horaria del proceso, con el efecto explicito de quimica, suelo, clima1, es el mas explicativo mecanisticamente.</t>
  </si>
  <si>
    <t>58,5</t>
  </si>
  <si>
    <t>6,5</t>
  </si>
  <si>
    <t>B1</t>
  </si>
  <si>
    <t>B2</t>
  </si>
  <si>
    <t>B3</t>
  </si>
  <si>
    <t>B4</t>
  </si>
  <si>
    <t>B5</t>
  </si>
  <si>
    <t>B6</t>
  </si>
  <si>
    <t>B7</t>
  </si>
  <si>
    <t>SCA</t>
  </si>
  <si>
    <t>GHG</t>
  </si>
  <si>
    <t>HYP</t>
  </si>
  <si>
    <t>CTR</t>
  </si>
  <si>
    <t>LI</t>
  </si>
  <si>
    <t>OF</t>
  </si>
  <si>
    <t>MF</t>
  </si>
  <si>
    <t>+</t>
  </si>
  <si>
    <t>SYST´N</t>
  </si>
  <si>
    <t>.</t>
  </si>
  <si>
    <t xml:space="preserve">La intesnsidad pluvial en esta base de datos es un promedio diario </t>
  </si>
  <si>
    <t>la densidad aparente de los eventos se toma de bases de datos registrados en años distintos a los de los eventos mismos, por falta de informacion se consideran registros del 2003 para los primeros registros cronologicos y de 2022 para los ultimos</t>
  </si>
  <si>
    <t>Solo para los fertilizantes organicos</t>
  </si>
  <si>
    <t>Intensite_pluie_promedio_mmh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</si>
</sst>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1F4E5F"/>
      <name val="Arial"/>
      <family val="2"/>
    </font>
    <font>
      <i/>
      <sz val="9"/>
      <color rgb="FF666666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1F4E5F"/>
      <name val="Arial"/>
      <family val="2"/>
    </font>
    <font>
      <sz val="10"/>
      <color rgb="FF00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C55A11"/>
        <bgColor rgb="FF993300"/>
      </patternFill>
    </fill>
    <fill>
      <patternFill patternType="solid">
        <fgColor rgb="FFD9D9D9"/>
        <bgColor rgb="FFFCE4D6"/>
      </patternFill>
    </fill>
    <fill>
      <patternFill patternType="solid">
        <fgColor rgb="FFFBFDFE"/>
        <bgColor rgb="FFFFFFFF"/>
      </patternFill>
    </fill>
    <fill>
      <patternFill patternType="solid">
        <fgColor rgb="FFFCE4D6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0000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7" borderId="0" xfId="0" applyFill="1"/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5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5" fillId="9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FDF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4"/>
  <sheetViews>
    <sheetView tabSelected="1" zoomScale="47" zoomScaleNormal="59" workbookViewId="0">
      <pane xSplit="5" ySplit="4" topLeftCell="G83" activePane="bottomRight" state="frozen"/>
      <selection pane="topRight" activeCell="F1" sqref="F1"/>
      <selection pane="bottomLeft" activeCell="A5" sqref="A5"/>
      <selection pane="bottomRight" activeCell="H4" sqref="H4"/>
    </sheetView>
  </sheetViews>
  <sheetFormatPr baseColWidth="10" defaultColWidth="8.6640625" defaultRowHeight="14.4" x14ac:dyDescent="0.3"/>
  <cols>
    <col min="1" max="1" width="17.44140625" bestFit="1" customWidth="1"/>
    <col min="2" max="2" width="12.77734375" bestFit="1" customWidth="1"/>
    <col min="3" max="3" width="12.6640625" bestFit="1" customWidth="1"/>
    <col min="4" max="4" width="10.88671875" bestFit="1" customWidth="1"/>
    <col min="5" max="5" width="14.109375" style="12" bestFit="1" customWidth="1"/>
    <col min="6" max="6" width="29.5546875" customWidth="1"/>
    <col min="7" max="7" width="23.109375" customWidth="1"/>
    <col min="8" max="8" width="22.33203125" bestFit="1" customWidth="1"/>
    <col min="9" max="9" width="20.6640625" bestFit="1" customWidth="1"/>
    <col min="10" max="10" width="28" bestFit="1" customWidth="1"/>
    <col min="11" max="11" width="15" customWidth="1"/>
    <col min="12" max="12" width="18.109375" bestFit="1" customWidth="1"/>
    <col min="13" max="13" width="19.6640625" bestFit="1" customWidth="1"/>
    <col min="14" max="14" width="16" customWidth="1"/>
    <col min="15" max="15" width="18" bestFit="1" customWidth="1"/>
    <col min="16" max="16" width="14.77734375" bestFit="1" customWidth="1"/>
    <col min="17" max="17" width="18.21875" bestFit="1" customWidth="1"/>
    <col min="18" max="18" width="14.21875" bestFit="1" customWidth="1"/>
    <col min="19" max="19" width="18.88671875" bestFit="1" customWidth="1"/>
    <col min="20" max="20" width="15.44140625" bestFit="1" customWidth="1"/>
    <col min="21" max="21" width="14" bestFit="1" customWidth="1"/>
    <col min="22" max="22" width="14.21875" bestFit="1" customWidth="1"/>
    <col min="23" max="23" width="13.88671875" bestFit="1" customWidth="1"/>
    <col min="24" max="24" width="13.44140625" bestFit="1" customWidth="1"/>
    <col min="25" max="25" width="14" customWidth="1"/>
    <col min="26" max="26" width="21.109375" bestFit="1" customWidth="1"/>
    <col min="27" max="27" width="16.33203125" style="14" bestFit="1" customWidth="1"/>
    <col min="28" max="28" width="13.77734375" style="14" bestFit="1" customWidth="1"/>
    <col min="29" max="29" width="15.88671875" style="14" bestFit="1" customWidth="1"/>
    <col min="30" max="30" width="23.44140625" style="14" bestFit="1" customWidth="1"/>
    <col min="31" max="31" width="11" style="14" bestFit="1" customWidth="1"/>
    <col min="32" max="32" width="18.77734375" bestFit="1" customWidth="1"/>
    <col min="33" max="33" width="16" customWidth="1"/>
    <col min="34" max="34" width="17" customWidth="1"/>
  </cols>
  <sheetData>
    <row r="1" spans="1:34" ht="16.8" x14ac:dyDescent="0.3">
      <c r="A1" s="17" t="s">
        <v>0</v>
      </c>
      <c r="B1" s="17"/>
      <c r="C1" s="17"/>
      <c r="D1" s="17"/>
      <c r="E1" s="17"/>
      <c r="F1" s="17"/>
      <c r="G1" s="17"/>
      <c r="H1" s="17"/>
    </row>
    <row r="2" spans="1:34" x14ac:dyDescent="0.3">
      <c r="A2" s="16" t="s">
        <v>148</v>
      </c>
      <c r="B2" s="16"/>
      <c r="C2" s="16"/>
      <c r="D2" s="16"/>
      <c r="E2" s="16"/>
      <c r="F2" s="16"/>
      <c r="G2" s="16"/>
      <c r="H2" s="16"/>
    </row>
    <row r="3" spans="1:34" x14ac:dyDescent="0.3">
      <c r="E3"/>
      <c r="R3">
        <v>0</v>
      </c>
      <c r="S3">
        <v>0</v>
      </c>
      <c r="T3">
        <v>0</v>
      </c>
      <c r="X3">
        <v>0</v>
      </c>
      <c r="Y3">
        <v>0</v>
      </c>
    </row>
    <row r="4" spans="1:37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124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135</v>
      </c>
      <c r="V4" s="1" t="s">
        <v>136</v>
      </c>
      <c r="W4" s="1" t="s">
        <v>137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  <c r="AD4" s="1" t="s">
        <v>218</v>
      </c>
      <c r="AE4" s="1" t="s">
        <v>26</v>
      </c>
      <c r="AF4" s="1" t="s">
        <v>27</v>
      </c>
      <c r="AG4" s="2" t="s">
        <v>28</v>
      </c>
      <c r="AH4" s="2" t="s">
        <v>29</v>
      </c>
      <c r="AI4" s="1" t="inlineStr">
        <is>
          <t>Inhibiteur_co_applique</t>
        </is>
      </c>
      <c r="AJ4" s="1" t="inlineStr">
        <is>
          <t>Type_inhibiteur</t>
        </is>
      </c>
      <c r="AK4" s="1" t="inlineStr">
        <is>
          <t>Statut_qualite</t>
        </is>
      </c>
    </row>
    <row r="5" spans="1:37" ht="18" customHeight="1" x14ac:dyDescent="0.3">
      <c r="A5" s="3">
        <v>1</v>
      </c>
      <c r="B5" s="3" t="s">
        <v>205</v>
      </c>
      <c r="C5" s="3" t="s">
        <v>198</v>
      </c>
      <c r="D5" s="3">
        <v>2018</v>
      </c>
      <c r="E5" s="11">
        <v>43165</v>
      </c>
      <c r="F5" s="4" t="s">
        <v>59</v>
      </c>
      <c r="G5" s="4" t="s">
        <v>42</v>
      </c>
      <c r="H5" s="4">
        <v>78</v>
      </c>
      <c r="I5" s="4"/>
      <c r="J5" s="19" t="s">
        <v>58</v>
      </c>
      <c r="K5" s="27" t="s">
        <v>37</v>
      </c>
      <c r="L5" s="4"/>
      <c r="M5" s="4"/>
      <c r="N5" s="4"/>
      <c r="O5" s="4"/>
      <c r="P5" s="4"/>
      <c r="Q5" s="4"/>
      <c r="R5" s="4">
        <v>7.5</v>
      </c>
      <c r="S5" s="4">
        <v>2</v>
      </c>
      <c r="T5" s="4">
        <v>12.3</v>
      </c>
      <c r="U5" s="4">
        <v>20.3</v>
      </c>
      <c r="V5" s="4">
        <v>71.599999999999994</v>
      </c>
      <c r="W5" s="4">
        <v>8.1</v>
      </c>
      <c r="X5" s="4">
        <v>16.7</v>
      </c>
      <c r="Y5" s="4">
        <v>19.8</v>
      </c>
      <c r="Z5" s="28">
        <v>1.31</v>
      </c>
      <c r="AA5" s="4">
        <v>7.2</v>
      </c>
      <c r="AB5" s="4">
        <v>2.9</v>
      </c>
      <c r="AC5" s="4">
        <v>3.5</v>
      </c>
      <c r="AD5" s="4"/>
      <c r="AE5" s="4">
        <v>89</v>
      </c>
      <c r="AF5" s="4"/>
      <c r="AG5" s="5">
        <v>10.342</v>
      </c>
      <c r="AH5" s="5"/>
      <c r="AI5" s="4" t="inlineStr">
        <is>
          <t>Non</t>
        </is>
      </c>
    </row>
    <row r="6" spans="1:37" x14ac:dyDescent="0.3">
      <c r="A6" s="3">
        <v>2</v>
      </c>
      <c r="B6" s="3" t="s">
        <v>205</v>
      </c>
      <c r="C6" s="3" t="s">
        <v>198</v>
      </c>
      <c r="D6" s="3">
        <v>2018</v>
      </c>
      <c r="E6" s="11">
        <v>43186</v>
      </c>
      <c r="F6" s="4" t="s">
        <v>63</v>
      </c>
      <c r="G6" s="4" t="s">
        <v>42</v>
      </c>
      <c r="H6" s="4">
        <v>76</v>
      </c>
      <c r="I6" s="4"/>
      <c r="J6" s="19" t="s">
        <v>58</v>
      </c>
      <c r="K6" s="27" t="s">
        <v>37</v>
      </c>
      <c r="L6" s="4"/>
      <c r="M6" s="4"/>
      <c r="N6" s="4"/>
      <c r="O6" s="4"/>
      <c r="P6" s="4"/>
      <c r="Q6" s="4"/>
      <c r="R6" s="4">
        <v>7.5</v>
      </c>
      <c r="S6" s="4">
        <v>2</v>
      </c>
      <c r="T6" s="4">
        <v>12.3</v>
      </c>
      <c r="U6" s="4">
        <v>20.3</v>
      </c>
      <c r="V6" s="4">
        <v>71.599999999999994</v>
      </c>
      <c r="W6" s="4">
        <v>8.1</v>
      </c>
      <c r="X6" s="4">
        <v>16.7</v>
      </c>
      <c r="Y6" s="4">
        <v>19.8</v>
      </c>
      <c r="Z6" s="28">
        <v>1.31</v>
      </c>
      <c r="AA6" s="4">
        <v>8.5</v>
      </c>
      <c r="AB6" s="4">
        <v>4</v>
      </c>
      <c r="AC6" s="4">
        <v>4</v>
      </c>
      <c r="AD6" s="4"/>
      <c r="AE6" s="4">
        <v>88</v>
      </c>
      <c r="AF6" s="4"/>
      <c r="AG6" s="5">
        <v>10.077</v>
      </c>
      <c r="AH6" s="5"/>
      <c r="AI6" s="4" t="inlineStr">
        <is>
          <t>Non</t>
        </is>
      </c>
    </row>
    <row r="7" spans="1:37" x14ac:dyDescent="0.3">
      <c r="A7" s="3">
        <v>3</v>
      </c>
      <c r="B7" s="3" t="s">
        <v>205</v>
      </c>
      <c r="C7" s="3" t="s">
        <v>198</v>
      </c>
      <c r="D7" s="3">
        <v>2018</v>
      </c>
      <c r="E7" s="11">
        <v>43219</v>
      </c>
      <c r="F7" s="4" t="s">
        <v>59</v>
      </c>
      <c r="G7" s="4" t="s">
        <v>42</v>
      </c>
      <c r="H7" s="4">
        <v>39</v>
      </c>
      <c r="I7" s="4"/>
      <c r="J7" s="19" t="s">
        <v>58</v>
      </c>
      <c r="K7" s="27" t="s">
        <v>37</v>
      </c>
      <c r="L7" s="4"/>
      <c r="M7" s="4"/>
      <c r="N7" s="4"/>
      <c r="O7" s="4"/>
      <c r="P7" s="4"/>
      <c r="Q7" s="4"/>
      <c r="R7" s="4">
        <v>7.5</v>
      </c>
      <c r="S7" s="4">
        <v>2</v>
      </c>
      <c r="T7" s="4">
        <v>12.3</v>
      </c>
      <c r="U7" s="4">
        <v>20.3</v>
      </c>
      <c r="V7" s="4">
        <v>71.599999999999994</v>
      </c>
      <c r="W7" s="4">
        <v>8.1</v>
      </c>
      <c r="X7" s="4">
        <v>16.7</v>
      </c>
      <c r="Y7" s="4">
        <v>19.8</v>
      </c>
      <c r="Z7" s="28">
        <v>1.31</v>
      </c>
      <c r="AA7" s="4">
        <v>9.8000000000000007</v>
      </c>
      <c r="AB7" s="4">
        <v>2.6</v>
      </c>
      <c r="AC7" s="4">
        <v>8</v>
      </c>
      <c r="AD7" s="4"/>
      <c r="AE7" s="4">
        <v>96</v>
      </c>
      <c r="AF7" s="4"/>
      <c r="AG7" s="5">
        <v>5.171</v>
      </c>
      <c r="AH7" s="5"/>
      <c r="AI7" s="4" t="inlineStr">
        <is>
          <t>Non</t>
        </is>
      </c>
    </row>
    <row r="8" spans="1:37" x14ac:dyDescent="0.3">
      <c r="A8" s="3">
        <v>4</v>
      </c>
      <c r="B8" s="3" t="s">
        <v>205</v>
      </c>
      <c r="C8" s="3" t="s">
        <v>198</v>
      </c>
      <c r="D8" s="3">
        <v>2018</v>
      </c>
      <c r="E8" s="11">
        <v>43232</v>
      </c>
      <c r="F8" s="4" t="s">
        <v>59</v>
      </c>
      <c r="G8" s="4" t="s">
        <v>42</v>
      </c>
      <c r="H8" s="4">
        <v>31.2</v>
      </c>
      <c r="I8" s="4"/>
      <c r="J8" s="19" t="s">
        <v>58</v>
      </c>
      <c r="K8" s="27" t="s">
        <v>37</v>
      </c>
      <c r="L8" s="4"/>
      <c r="M8" s="4"/>
      <c r="N8" s="4"/>
      <c r="O8" s="4"/>
      <c r="P8" s="4"/>
      <c r="Q8" s="4"/>
      <c r="R8" s="4">
        <v>7.5</v>
      </c>
      <c r="S8" s="4">
        <v>2</v>
      </c>
      <c r="T8" s="4">
        <v>12.3</v>
      </c>
      <c r="U8" s="4">
        <v>20.3</v>
      </c>
      <c r="V8" s="4">
        <v>71.599999999999994</v>
      </c>
      <c r="W8" s="4">
        <v>8.1</v>
      </c>
      <c r="X8" s="4">
        <v>16.7</v>
      </c>
      <c r="Y8" s="4">
        <v>19.8</v>
      </c>
      <c r="Z8" s="28">
        <v>1.31</v>
      </c>
      <c r="AA8" s="4">
        <v>12.9</v>
      </c>
      <c r="AB8" s="4">
        <v>1.9</v>
      </c>
      <c r="AC8" s="4">
        <v>5</v>
      </c>
      <c r="AD8" s="4"/>
      <c r="AE8" s="4">
        <v>85</v>
      </c>
      <c r="AF8" s="4"/>
      <c r="AG8" s="5">
        <v>4.137</v>
      </c>
      <c r="AH8" s="5"/>
      <c r="AI8" s="4" t="inlineStr">
        <is>
          <t>Non</t>
        </is>
      </c>
    </row>
    <row r="9" spans="1:37" x14ac:dyDescent="0.3">
      <c r="A9" s="3">
        <v>5</v>
      </c>
      <c r="B9" s="3" t="s">
        <v>205</v>
      </c>
      <c r="C9" s="3" t="s">
        <v>198</v>
      </c>
      <c r="D9" s="3">
        <v>2019</v>
      </c>
      <c r="E9" s="11">
        <v>43512</v>
      </c>
      <c r="F9" s="4" t="s">
        <v>81</v>
      </c>
      <c r="G9" s="4" t="s">
        <v>42</v>
      </c>
      <c r="H9" s="4">
        <v>38</v>
      </c>
      <c r="I9" s="4"/>
      <c r="J9" s="19" t="s">
        <v>58</v>
      </c>
      <c r="K9" s="27" t="s">
        <v>37</v>
      </c>
      <c r="L9" s="4"/>
      <c r="M9" s="4"/>
      <c r="N9" s="4"/>
      <c r="O9" s="4"/>
      <c r="P9" s="4"/>
      <c r="Q9" s="4"/>
      <c r="R9" s="4">
        <v>7.5</v>
      </c>
      <c r="S9" s="4">
        <v>2</v>
      </c>
      <c r="T9" s="4">
        <v>12.3</v>
      </c>
      <c r="U9" s="4">
        <v>20.3</v>
      </c>
      <c r="V9" s="4">
        <v>71.599999999999994</v>
      </c>
      <c r="W9" s="4">
        <v>8.1</v>
      </c>
      <c r="X9" s="4">
        <v>16.7</v>
      </c>
      <c r="Y9" s="4">
        <v>19.8</v>
      </c>
      <c r="Z9" s="28">
        <v>1.31</v>
      </c>
      <c r="AA9" s="4">
        <v>8.6</v>
      </c>
      <c r="AB9" s="4">
        <v>1.4</v>
      </c>
      <c r="AC9" s="4">
        <v>0</v>
      </c>
      <c r="AD9" s="4"/>
      <c r="AE9" s="4">
        <v>71</v>
      </c>
      <c r="AF9" s="4"/>
      <c r="AG9" s="5">
        <v>5.038</v>
      </c>
      <c r="AH9" s="5"/>
      <c r="AI9" s="4" t="inlineStr">
        <is>
          <t>Non</t>
        </is>
      </c>
    </row>
    <row r="10" spans="1:37" x14ac:dyDescent="0.3">
      <c r="A10" s="3">
        <v>6</v>
      </c>
      <c r="B10" s="3" t="s">
        <v>205</v>
      </c>
      <c r="C10" s="3" t="s">
        <v>198</v>
      </c>
      <c r="D10" s="3">
        <v>2019</v>
      </c>
      <c r="E10" s="11">
        <v>43538</v>
      </c>
      <c r="F10" s="4" t="s">
        <v>59</v>
      </c>
      <c r="G10" s="4" t="s">
        <v>42</v>
      </c>
      <c r="H10" s="4">
        <v>72</v>
      </c>
      <c r="I10" s="4"/>
      <c r="J10" s="19" t="s">
        <v>58</v>
      </c>
      <c r="K10" s="27" t="s">
        <v>37</v>
      </c>
      <c r="L10" s="4"/>
      <c r="M10" s="4"/>
      <c r="N10" s="4"/>
      <c r="O10" s="4"/>
      <c r="P10" s="4"/>
      <c r="Q10" s="4"/>
      <c r="R10" s="4">
        <v>7.5</v>
      </c>
      <c r="S10" s="4">
        <v>2</v>
      </c>
      <c r="T10" s="4">
        <v>12.3</v>
      </c>
      <c r="U10" s="4">
        <v>20.3</v>
      </c>
      <c r="V10" s="4">
        <v>71.599999999999994</v>
      </c>
      <c r="W10" s="4">
        <v>8.1</v>
      </c>
      <c r="X10" s="4">
        <v>16.7</v>
      </c>
      <c r="Y10" s="4">
        <v>19.8</v>
      </c>
      <c r="Z10" s="28">
        <v>1.31</v>
      </c>
      <c r="AA10" s="4">
        <v>8.6999999999999993</v>
      </c>
      <c r="AB10" s="4">
        <v>6.6</v>
      </c>
      <c r="AC10" s="4">
        <v>7</v>
      </c>
      <c r="AD10" s="4"/>
      <c r="AE10" s="4">
        <v>91</v>
      </c>
      <c r="AF10" s="4"/>
      <c r="AG10" s="5">
        <v>9.546</v>
      </c>
      <c r="AH10" s="5"/>
      <c r="AI10" s="4" t="inlineStr">
        <is>
          <t>Non</t>
        </is>
      </c>
    </row>
    <row r="11" spans="1:37" x14ac:dyDescent="0.3">
      <c r="A11" s="3">
        <v>7</v>
      </c>
      <c r="B11" s="3" t="s">
        <v>205</v>
      </c>
      <c r="C11" s="3" t="s">
        <v>198</v>
      </c>
      <c r="D11" s="3">
        <v>2020</v>
      </c>
      <c r="E11" s="11">
        <v>43867</v>
      </c>
      <c r="F11" s="4" t="s">
        <v>78</v>
      </c>
      <c r="G11" s="4" t="s">
        <v>42</v>
      </c>
      <c r="H11" s="4">
        <v>41</v>
      </c>
      <c r="I11" s="4"/>
      <c r="J11" s="19" t="s">
        <v>58</v>
      </c>
      <c r="K11" s="27" t="s">
        <v>37</v>
      </c>
      <c r="L11" s="4"/>
      <c r="M11" s="4"/>
      <c r="N11" s="4"/>
      <c r="O11" s="4"/>
      <c r="P11" s="4"/>
      <c r="Q11" s="4"/>
      <c r="R11" s="4">
        <v>7.5</v>
      </c>
      <c r="S11" s="4">
        <v>2</v>
      </c>
      <c r="T11" s="4">
        <v>12.3</v>
      </c>
      <c r="U11" s="4">
        <v>20.3</v>
      </c>
      <c r="V11" s="4">
        <v>71.599999999999994</v>
      </c>
      <c r="W11" s="4">
        <v>8.1</v>
      </c>
      <c r="X11" s="4">
        <v>16.7</v>
      </c>
      <c r="Y11" s="4">
        <v>19.8</v>
      </c>
      <c r="Z11" s="28">
        <v>1.31</v>
      </c>
      <c r="AA11" s="4">
        <v>4.0999999999999996</v>
      </c>
      <c r="AB11" s="4">
        <v>1.9</v>
      </c>
      <c r="AC11" s="4">
        <v>0</v>
      </c>
      <c r="AD11" s="4"/>
      <c r="AE11" s="4">
        <v>80</v>
      </c>
      <c r="AF11" s="4"/>
      <c r="AG11" s="5">
        <v>5.436</v>
      </c>
      <c r="AH11" s="5"/>
      <c r="AI11" s="4" t="inlineStr">
        <is>
          <t>Non</t>
        </is>
      </c>
    </row>
    <row r="12" spans="1:37" x14ac:dyDescent="0.3">
      <c r="A12" s="3">
        <v>8</v>
      </c>
      <c r="B12" s="3" t="s">
        <v>205</v>
      </c>
      <c r="C12" s="3" t="s">
        <v>198</v>
      </c>
      <c r="D12" s="3">
        <v>2020</v>
      </c>
      <c r="E12" s="11">
        <v>43879</v>
      </c>
      <c r="F12" s="13" t="s">
        <v>70</v>
      </c>
      <c r="G12" s="4" t="s">
        <v>42</v>
      </c>
      <c r="H12" s="4">
        <v>99</v>
      </c>
      <c r="I12" s="4"/>
      <c r="J12" s="19" t="s">
        <v>58</v>
      </c>
      <c r="K12" s="27" t="s">
        <v>37</v>
      </c>
      <c r="L12" s="4"/>
      <c r="M12" s="4"/>
      <c r="N12" s="4"/>
      <c r="O12" s="4"/>
      <c r="P12" s="4"/>
      <c r="Q12" s="4"/>
      <c r="R12" s="4">
        <v>7.5</v>
      </c>
      <c r="S12" s="4">
        <v>2</v>
      </c>
      <c r="T12" s="4">
        <v>12.3</v>
      </c>
      <c r="U12" s="4">
        <v>20.3</v>
      </c>
      <c r="V12" s="4">
        <v>71.599999999999994</v>
      </c>
      <c r="W12" s="4">
        <v>8.1</v>
      </c>
      <c r="X12" s="4">
        <v>16.7</v>
      </c>
      <c r="Y12" s="4">
        <v>19.8</v>
      </c>
      <c r="Z12" s="28">
        <v>1.31</v>
      </c>
      <c r="AA12" s="4">
        <v>7</v>
      </c>
      <c r="AB12" s="4">
        <v>4.9000000000000004</v>
      </c>
      <c r="AC12" s="4">
        <v>5.5</v>
      </c>
      <c r="AD12" s="4"/>
      <c r="AE12" s="4">
        <v>77</v>
      </c>
      <c r="AF12" s="4"/>
      <c r="AG12" s="5">
        <v>13.126</v>
      </c>
      <c r="AH12" s="5"/>
      <c r="AI12" s="4" t="inlineStr">
        <is>
          <t>Non</t>
        </is>
      </c>
    </row>
    <row r="13" spans="1:37" x14ac:dyDescent="0.3">
      <c r="A13" s="3">
        <v>9</v>
      </c>
      <c r="B13" s="3" t="s">
        <v>205</v>
      </c>
      <c r="C13" s="3" t="s">
        <v>198</v>
      </c>
      <c r="D13" s="3">
        <v>2020</v>
      </c>
      <c r="E13" s="11">
        <v>43898</v>
      </c>
      <c r="F13" s="4" t="s">
        <v>73</v>
      </c>
      <c r="G13" s="4" t="s">
        <v>62</v>
      </c>
      <c r="H13" s="4"/>
      <c r="I13" s="4"/>
      <c r="J13" s="19" t="s">
        <v>58</v>
      </c>
      <c r="K13" s="27" t="s">
        <v>37</v>
      </c>
      <c r="L13" s="4"/>
      <c r="M13" s="4"/>
      <c r="N13" s="4"/>
      <c r="O13" s="4"/>
      <c r="P13" s="4"/>
      <c r="Q13" s="4"/>
      <c r="R13" s="4">
        <v>7.5</v>
      </c>
      <c r="S13" s="4">
        <v>2</v>
      </c>
      <c r="T13" s="4">
        <v>12.3</v>
      </c>
      <c r="U13" s="4">
        <v>20.3</v>
      </c>
      <c r="V13" s="4">
        <v>71.599999999999994</v>
      </c>
      <c r="W13" s="4">
        <v>8.1</v>
      </c>
      <c r="X13" s="4">
        <v>16.7</v>
      </c>
      <c r="Y13" s="4">
        <v>19.8</v>
      </c>
      <c r="Z13" s="28">
        <v>1.31</v>
      </c>
      <c r="AA13" s="4">
        <v>8</v>
      </c>
      <c r="AB13" s="4">
        <v>4.7</v>
      </c>
      <c r="AC13" s="4">
        <v>3</v>
      </c>
      <c r="AD13" s="4"/>
      <c r="AE13" s="4">
        <v>88</v>
      </c>
      <c r="AF13" s="4"/>
      <c r="AG13" s="5">
        <v>0.0</v>
      </c>
      <c r="AH13" s="5"/>
      <c r="AI13" s="4" t="inlineStr">
        <is>
          <t>Non</t>
        </is>
      </c>
    </row>
    <row r="14" spans="1:37" x14ac:dyDescent="0.3">
      <c r="A14" s="3">
        <v>10</v>
      </c>
      <c r="B14" s="3" t="s">
        <v>205</v>
      </c>
      <c r="C14" s="3" t="s">
        <v>198</v>
      </c>
      <c r="D14" s="3">
        <v>2020</v>
      </c>
      <c r="E14" s="11">
        <v>43899</v>
      </c>
      <c r="F14" s="4" t="s">
        <v>78</v>
      </c>
      <c r="G14" s="4" t="s">
        <v>42</v>
      </c>
      <c r="H14" s="4">
        <v>51</v>
      </c>
      <c r="I14" s="4"/>
      <c r="J14" s="19" t="s">
        <v>58</v>
      </c>
      <c r="K14" s="27" t="s">
        <v>37</v>
      </c>
      <c r="L14" s="4"/>
      <c r="M14" s="4"/>
      <c r="N14" s="4"/>
      <c r="O14" s="4"/>
      <c r="P14" s="4"/>
      <c r="Q14" s="4"/>
      <c r="R14" s="4">
        <v>7.5</v>
      </c>
      <c r="S14" s="4">
        <v>2</v>
      </c>
      <c r="T14" s="4">
        <v>12.3</v>
      </c>
      <c r="U14" s="4">
        <v>20.3</v>
      </c>
      <c r="V14" s="4">
        <v>71.599999999999994</v>
      </c>
      <c r="W14" s="4">
        <v>8.1</v>
      </c>
      <c r="X14" s="4">
        <v>16.7</v>
      </c>
      <c r="Y14" s="4">
        <v>19.8</v>
      </c>
      <c r="Z14" s="28">
        <v>1.31</v>
      </c>
      <c r="AA14" s="4">
        <v>7.4</v>
      </c>
      <c r="AB14" s="4">
        <v>4.2</v>
      </c>
      <c r="AC14" s="4">
        <v>3</v>
      </c>
      <c r="AD14" s="4"/>
      <c r="AE14" s="4">
        <v>79</v>
      </c>
      <c r="AF14" s="4"/>
      <c r="AG14" s="5">
        <v>6.762</v>
      </c>
      <c r="AH14" s="5"/>
      <c r="AI14" s="4" t="inlineStr">
        <is>
          <t>Non</t>
        </is>
      </c>
    </row>
    <row r="15" spans="1:37" x14ac:dyDescent="0.3">
      <c r="A15" s="3">
        <v>11</v>
      </c>
      <c r="B15" s="3" t="s">
        <v>205</v>
      </c>
      <c r="C15" s="3" t="s">
        <v>198</v>
      </c>
      <c r="D15" s="3">
        <v>2021</v>
      </c>
      <c r="E15" s="11">
        <v>44244</v>
      </c>
      <c r="F15" s="4" t="s">
        <v>78</v>
      </c>
      <c r="G15" s="4" t="s">
        <v>42</v>
      </c>
      <c r="H15" s="4">
        <v>51</v>
      </c>
      <c r="I15" s="4"/>
      <c r="J15" s="19" t="s">
        <v>58</v>
      </c>
      <c r="K15" s="27" t="s">
        <v>37</v>
      </c>
      <c r="L15" s="4"/>
      <c r="M15" s="4"/>
      <c r="N15" s="4"/>
      <c r="O15" s="4"/>
      <c r="P15" s="4"/>
      <c r="Q15" s="4"/>
      <c r="R15" s="4">
        <v>7.5</v>
      </c>
      <c r="S15" s="4">
        <v>2</v>
      </c>
      <c r="T15" s="4">
        <v>12.3</v>
      </c>
      <c r="U15" s="4">
        <v>20.3</v>
      </c>
      <c r="V15" s="4">
        <v>71.599999999999994</v>
      </c>
      <c r="W15" s="4">
        <v>8.1</v>
      </c>
      <c r="X15" s="4">
        <v>16.7</v>
      </c>
      <c r="Y15" s="4">
        <v>19.8</v>
      </c>
      <c r="Z15" s="28">
        <v>1.35</v>
      </c>
      <c r="AA15" s="4">
        <v>9.4</v>
      </c>
      <c r="AB15" s="4">
        <v>4</v>
      </c>
      <c r="AC15" s="4">
        <v>0</v>
      </c>
      <c r="AD15" s="4"/>
      <c r="AE15" s="4">
        <v>84</v>
      </c>
      <c r="AF15" s="4"/>
      <c r="AG15" s="5">
        <v>6.762</v>
      </c>
      <c r="AH15" s="5"/>
      <c r="AI15" s="4" t="inlineStr">
        <is>
          <t>Non</t>
        </is>
      </c>
    </row>
    <row r="16" spans="1:37" x14ac:dyDescent="0.3">
      <c r="A16" s="3">
        <v>12</v>
      </c>
      <c r="B16" s="3" t="s">
        <v>205</v>
      </c>
      <c r="C16" s="3" t="s">
        <v>198</v>
      </c>
      <c r="D16" s="3">
        <v>2021</v>
      </c>
      <c r="E16" s="11">
        <v>44265</v>
      </c>
      <c r="F16" s="4" t="s">
        <v>80</v>
      </c>
      <c r="G16" s="4" t="s">
        <v>42</v>
      </c>
      <c r="H16" s="4">
        <v>94</v>
      </c>
      <c r="I16" s="4"/>
      <c r="J16" s="19" t="s">
        <v>58</v>
      </c>
      <c r="K16" s="27" t="s">
        <v>37</v>
      </c>
      <c r="L16" s="4"/>
      <c r="M16" s="4"/>
      <c r="N16" s="4"/>
      <c r="O16" s="4"/>
      <c r="P16" s="4"/>
      <c r="Q16" s="4"/>
      <c r="R16" s="4">
        <v>7.5</v>
      </c>
      <c r="S16" s="4">
        <v>2</v>
      </c>
      <c r="T16" s="4">
        <v>12.3</v>
      </c>
      <c r="U16" s="4">
        <v>20.3</v>
      </c>
      <c r="V16" s="4">
        <v>71.599999999999994</v>
      </c>
      <c r="W16" s="4">
        <v>8.1</v>
      </c>
      <c r="X16" s="4">
        <v>16.7</v>
      </c>
      <c r="Y16" s="4">
        <v>19.8</v>
      </c>
      <c r="Z16" s="28">
        <v>1.35</v>
      </c>
      <c r="AA16" s="4">
        <v>5.9</v>
      </c>
      <c r="AB16" s="4">
        <v>4.5999999999999996</v>
      </c>
      <c r="AC16" s="4">
        <v>1</v>
      </c>
      <c r="AD16" s="4"/>
      <c r="AE16" s="4">
        <v>78</v>
      </c>
      <c r="AF16" s="4"/>
      <c r="AG16" s="5">
        <v>12.463</v>
      </c>
      <c r="AH16" s="5"/>
      <c r="AI16" s="4" t="inlineStr">
        <is>
          <t>Non</t>
        </is>
      </c>
    </row>
    <row r="17" spans="1:37" x14ac:dyDescent="0.3">
      <c r="A17" s="3">
        <v>13</v>
      </c>
      <c r="B17" s="3" t="s">
        <v>205</v>
      </c>
      <c r="C17" s="3" t="s">
        <v>198</v>
      </c>
      <c r="D17" s="3">
        <v>2021</v>
      </c>
      <c r="E17" s="11">
        <v>44322</v>
      </c>
      <c r="F17" s="4" t="s">
        <v>59</v>
      </c>
      <c r="G17" s="4" t="s">
        <v>42</v>
      </c>
      <c r="H17" s="4">
        <v>58</v>
      </c>
      <c r="I17" s="4"/>
      <c r="J17" s="19" t="s">
        <v>58</v>
      </c>
      <c r="K17" s="27" t="s">
        <v>37</v>
      </c>
      <c r="L17" s="4"/>
      <c r="M17" s="4"/>
      <c r="N17" s="4"/>
      <c r="O17" s="4"/>
      <c r="P17" s="4"/>
      <c r="Q17" s="4"/>
      <c r="R17" s="4">
        <v>7.5</v>
      </c>
      <c r="S17" s="4">
        <v>2</v>
      </c>
      <c r="T17" s="4">
        <v>12.3</v>
      </c>
      <c r="U17" s="4">
        <v>20.3</v>
      </c>
      <c r="V17" s="4">
        <v>71.599999999999994</v>
      </c>
      <c r="W17" s="4">
        <v>8.1</v>
      </c>
      <c r="X17" s="4">
        <v>16.7</v>
      </c>
      <c r="Y17" s="4">
        <v>19.8</v>
      </c>
      <c r="Z17" s="28">
        <v>1.35</v>
      </c>
      <c r="AA17" s="4">
        <v>7.5</v>
      </c>
      <c r="AB17" s="4">
        <v>1.8</v>
      </c>
      <c r="AC17" s="4">
        <v>6.5</v>
      </c>
      <c r="AD17" s="4"/>
      <c r="AE17" s="4">
        <v>89</v>
      </c>
      <c r="AF17" s="4"/>
      <c r="AG17" s="5">
        <v>7.69</v>
      </c>
      <c r="AH17" s="5"/>
      <c r="AI17" s="4" t="inlineStr">
        <is>
          <t>Non</t>
        </is>
      </c>
    </row>
    <row r="18" spans="1:37" x14ac:dyDescent="0.3">
      <c r="A18" s="3">
        <v>14</v>
      </c>
      <c r="B18" s="3" t="s">
        <v>205</v>
      </c>
      <c r="C18" s="3" t="s">
        <v>198</v>
      </c>
      <c r="D18" s="3">
        <v>2022</v>
      </c>
      <c r="E18" s="11">
        <v>44700</v>
      </c>
      <c r="F18" s="4" t="s">
        <v>48</v>
      </c>
      <c r="G18" s="4" t="s">
        <v>48</v>
      </c>
      <c r="H18" s="4">
        <v>149</v>
      </c>
      <c r="I18" s="4"/>
      <c r="J18" s="19" t="s">
        <v>55</v>
      </c>
      <c r="K18" s="27" t="s">
        <v>37</v>
      </c>
      <c r="L18" s="4"/>
      <c r="M18" s="4"/>
      <c r="N18" s="4"/>
      <c r="O18" s="4"/>
      <c r="P18" s="4"/>
      <c r="Q18" s="4"/>
      <c r="R18" s="4">
        <v>7.5</v>
      </c>
      <c r="S18" s="4">
        <v>2</v>
      </c>
      <c r="T18" s="4">
        <v>12.3</v>
      </c>
      <c r="U18" s="4">
        <v>20.3</v>
      </c>
      <c r="V18" s="4">
        <v>71.599999999999994</v>
      </c>
      <c r="W18" s="4">
        <v>8.1</v>
      </c>
      <c r="X18" s="4">
        <v>16.7</v>
      </c>
      <c r="Y18" s="4">
        <v>19.8</v>
      </c>
      <c r="Z18" s="28">
        <v>1.35</v>
      </c>
      <c r="AA18" s="4">
        <v>20.100000000000001</v>
      </c>
      <c r="AB18" s="4">
        <v>2.2999999999999998</v>
      </c>
      <c r="AC18" s="4">
        <v>0.5</v>
      </c>
      <c r="AD18" s="4"/>
      <c r="AE18" s="4">
        <v>71</v>
      </c>
      <c r="AF18" s="4"/>
      <c r="AG18" s="5">
        <v>25.277</v>
      </c>
      <c r="AH18" s="5"/>
      <c r="AI18" s="4" t="inlineStr">
        <is>
          <t>Non</t>
        </is>
      </c>
    </row>
    <row r="19" spans="1:37" x14ac:dyDescent="0.3">
      <c r="A19" s="3">
        <v>15</v>
      </c>
      <c r="B19" s="3" t="s">
        <v>205</v>
      </c>
      <c r="C19" s="3" t="s">
        <v>198</v>
      </c>
      <c r="D19" s="3">
        <v>2023</v>
      </c>
      <c r="E19" s="11">
        <v>44970</v>
      </c>
      <c r="F19" s="4" t="s">
        <v>59</v>
      </c>
      <c r="G19" s="4" t="s">
        <v>42</v>
      </c>
      <c r="H19" s="4">
        <v>43</v>
      </c>
      <c r="I19" s="4"/>
      <c r="J19" s="19" t="s">
        <v>58</v>
      </c>
      <c r="K19" s="27" t="s">
        <v>37</v>
      </c>
      <c r="L19" s="4"/>
      <c r="M19" s="4"/>
      <c r="N19" s="4"/>
      <c r="O19" s="4"/>
      <c r="P19" s="4"/>
      <c r="Q19" s="4"/>
      <c r="R19" s="4">
        <v>7.5</v>
      </c>
      <c r="S19" s="4">
        <v>2</v>
      </c>
      <c r="T19" s="4">
        <v>12.3</v>
      </c>
      <c r="U19" s="4">
        <v>20.3</v>
      </c>
      <c r="V19" s="4">
        <v>71.599999999999994</v>
      </c>
      <c r="W19" s="4">
        <v>8.1</v>
      </c>
      <c r="X19" s="4">
        <v>16.7</v>
      </c>
      <c r="Y19" s="4">
        <v>19.8</v>
      </c>
      <c r="Z19" s="28">
        <v>1.35</v>
      </c>
      <c r="AA19" s="4">
        <v>5.6</v>
      </c>
      <c r="AB19" s="4">
        <v>1.1000000000000001</v>
      </c>
      <c r="AC19" s="4">
        <v>0.5</v>
      </c>
      <c r="AD19" s="4"/>
      <c r="AE19" s="4">
        <v>84</v>
      </c>
      <c r="AF19" s="4"/>
      <c r="AG19" s="5">
        <v>5.701</v>
      </c>
      <c r="AH19" s="5"/>
      <c r="AI19" s="4" t="inlineStr">
        <is>
          <t>Non</t>
        </is>
      </c>
    </row>
    <row r="20" spans="1:37" x14ac:dyDescent="0.3">
      <c r="A20" s="3">
        <v>16</v>
      </c>
      <c r="B20" s="3" t="s">
        <v>205</v>
      </c>
      <c r="C20" s="3" t="s">
        <v>198</v>
      </c>
      <c r="D20" s="3">
        <v>2023</v>
      </c>
      <c r="E20" s="11">
        <v>44970</v>
      </c>
      <c r="F20" s="4" t="s">
        <v>72</v>
      </c>
      <c r="G20" s="4" t="s">
        <v>54</v>
      </c>
      <c r="H20" s="4">
        <v>6.5</v>
      </c>
      <c r="I20" s="4"/>
      <c r="J20" s="19" t="s">
        <v>58</v>
      </c>
      <c r="K20" s="27" t="s">
        <v>37</v>
      </c>
      <c r="L20" s="4"/>
      <c r="M20" s="4"/>
      <c r="N20" s="4"/>
      <c r="O20" s="4"/>
      <c r="P20" s="4"/>
      <c r="Q20" s="4"/>
      <c r="R20" s="4">
        <v>7.5</v>
      </c>
      <c r="S20" s="4">
        <v>2</v>
      </c>
      <c r="T20" s="4">
        <v>12.3</v>
      </c>
      <c r="U20" s="4">
        <v>20.3</v>
      </c>
      <c r="V20" s="4">
        <v>71.599999999999994</v>
      </c>
      <c r="W20" s="4">
        <v>8.1</v>
      </c>
      <c r="X20" s="4">
        <v>16.7</v>
      </c>
      <c r="Y20" s="4">
        <v>19.8</v>
      </c>
      <c r="Z20" s="28">
        <v>1.35</v>
      </c>
      <c r="AA20" s="4">
        <v>5.6</v>
      </c>
      <c r="AB20" s="4">
        <v>1.1000000000000001</v>
      </c>
      <c r="AC20" s="4">
        <v>0.5</v>
      </c>
      <c r="AD20" s="4"/>
      <c r="AE20" s="4">
        <v>84</v>
      </c>
      <c r="AF20" s="4"/>
      <c r="AG20" s="5">
        <v>1.001</v>
      </c>
      <c r="AH20" s="5"/>
      <c r="AI20" s="4" t="inlineStr">
        <is>
          <t>Non</t>
        </is>
      </c>
    </row>
    <row r="21" spans="1:37" x14ac:dyDescent="0.3">
      <c r="A21" s="3">
        <v>17</v>
      </c>
      <c r="B21" s="3" t="s">
        <v>205</v>
      </c>
      <c r="C21" s="3" t="s">
        <v>198</v>
      </c>
      <c r="D21" s="3">
        <v>2023</v>
      </c>
      <c r="E21" s="11">
        <v>44993</v>
      </c>
      <c r="F21" s="4" t="s">
        <v>59</v>
      </c>
      <c r="G21" s="4" t="s">
        <v>42</v>
      </c>
      <c r="H21" s="4">
        <v>51</v>
      </c>
      <c r="I21" s="4"/>
      <c r="J21" s="19" t="s">
        <v>58</v>
      </c>
      <c r="K21" s="27" t="s">
        <v>37</v>
      </c>
      <c r="L21" s="4"/>
      <c r="M21" s="4"/>
      <c r="N21" s="4"/>
      <c r="O21" s="4"/>
      <c r="P21" s="4"/>
      <c r="Q21" s="4"/>
      <c r="R21" s="4">
        <v>7.5</v>
      </c>
      <c r="S21" s="4">
        <v>2</v>
      </c>
      <c r="T21" s="4">
        <v>12.3</v>
      </c>
      <c r="U21" s="4">
        <v>20.3</v>
      </c>
      <c r="V21" s="4">
        <v>71.599999999999994</v>
      </c>
      <c r="W21" s="4">
        <v>8.1</v>
      </c>
      <c r="X21" s="4">
        <v>16.7</v>
      </c>
      <c r="Y21" s="4">
        <v>19.8</v>
      </c>
      <c r="Z21" s="28">
        <v>1.35</v>
      </c>
      <c r="AA21" s="4">
        <v>10</v>
      </c>
      <c r="AB21" s="4">
        <v>5.5</v>
      </c>
      <c r="AC21" s="4">
        <v>16.5</v>
      </c>
      <c r="AD21" s="4"/>
      <c r="AE21" s="4">
        <v>90</v>
      </c>
      <c r="AF21" s="4"/>
      <c r="AG21" s="5">
        <v>6.762</v>
      </c>
      <c r="AH21" s="5"/>
      <c r="AI21" s="4" t="inlineStr">
        <is>
          <t>Oui</t>
        </is>
      </c>
      <c r="AJ21" s="4" t="inlineStr">
        <is>
          <t>à déterminer (uréase/nitrification)</t>
        </is>
      </c>
    </row>
    <row r="22" spans="1:37" x14ac:dyDescent="0.3">
      <c r="A22" s="3">
        <v>18</v>
      </c>
      <c r="B22" s="3" t="s">
        <v>205</v>
      </c>
      <c r="C22" s="3" t="s">
        <v>198</v>
      </c>
      <c r="D22" s="3">
        <v>2023</v>
      </c>
      <c r="E22" s="11">
        <v>44993</v>
      </c>
      <c r="F22" s="4" t="s">
        <v>76</v>
      </c>
      <c r="G22" s="4" t="inlineStr">
        <is>
          <t>Additif</t>
        </is>
      </c>
      <c r="H22" s="4">
        <v>0</v>
      </c>
      <c r="I22" s="4">
        <v>0</v>
      </c>
      <c r="J22" s="19" t="s">
        <v>58</v>
      </c>
      <c r="K22" s="27" t="s">
        <v>37</v>
      </c>
      <c r="L22" s="4"/>
      <c r="M22" s="4"/>
      <c r="N22" s="4"/>
      <c r="O22" s="4"/>
      <c r="P22" s="4"/>
      <c r="Q22" s="4"/>
      <c r="R22" s="4">
        <v>7.5</v>
      </c>
      <c r="S22" s="4">
        <v>2</v>
      </c>
      <c r="T22" s="4">
        <v>12.3</v>
      </c>
      <c r="U22" s="4">
        <v>20.3</v>
      </c>
      <c r="V22" s="4">
        <v>71.599999999999994</v>
      </c>
      <c r="W22" s="4">
        <v>8.1</v>
      </c>
      <c r="X22" s="4">
        <v>16.7</v>
      </c>
      <c r="Y22" s="4">
        <v>19.8</v>
      </c>
      <c r="Z22" s="28">
        <v>1.35</v>
      </c>
      <c r="AA22" s="4">
        <v>10</v>
      </c>
      <c r="AB22" s="4">
        <v>5.5</v>
      </c>
      <c r="AC22" s="4">
        <v>16.5</v>
      </c>
      <c r="AD22" s="4"/>
      <c r="AE22" s="4">
        <v>90</v>
      </c>
      <c r="AF22" s="4"/>
      <c r="AG22" s="5">
        <v>0.0</v>
      </c>
      <c r="AH22" s="5"/>
      <c r="AI22" s="4" t="inlineStr">
        <is>
          <t>Non</t>
        </is>
      </c>
      <c r="AK22" s="4" t="inlineStr">
        <is>
          <t>Inhibiteur (sans N) — non-émetteur, exclure du calcul EMEP</t>
        </is>
      </c>
    </row>
    <row r="23" spans="1:37" x14ac:dyDescent="0.3">
      <c r="A23" s="3">
        <v>19</v>
      </c>
      <c r="B23" s="3" t="s">
        <v>205</v>
      </c>
      <c r="C23" s="3" t="s">
        <v>198</v>
      </c>
      <c r="D23" s="3">
        <v>2023</v>
      </c>
      <c r="E23" s="11">
        <v>45027</v>
      </c>
      <c r="F23" s="4" t="s">
        <v>59</v>
      </c>
      <c r="G23" s="4" t="s">
        <v>42</v>
      </c>
      <c r="H23" s="4">
        <v>49</v>
      </c>
      <c r="I23" s="4"/>
      <c r="J23" s="19" t="s">
        <v>58</v>
      </c>
      <c r="K23" s="27" t="s">
        <v>37</v>
      </c>
      <c r="L23" s="4"/>
      <c r="M23" s="4"/>
      <c r="N23" s="4"/>
      <c r="O23" s="4"/>
      <c r="P23" s="4"/>
      <c r="Q23" s="4"/>
      <c r="R23" s="4">
        <v>7.5</v>
      </c>
      <c r="S23" s="4">
        <v>2</v>
      </c>
      <c r="T23" s="4">
        <v>12.3</v>
      </c>
      <c r="U23" s="4">
        <v>20.3</v>
      </c>
      <c r="V23" s="4">
        <v>71.599999999999994</v>
      </c>
      <c r="W23" s="4">
        <v>8.1</v>
      </c>
      <c r="X23" s="4">
        <v>16.7</v>
      </c>
      <c r="Y23" s="4">
        <v>19.8</v>
      </c>
      <c r="Z23" s="28">
        <v>1.35</v>
      </c>
      <c r="AA23" s="4">
        <v>9.3000000000000007</v>
      </c>
      <c r="AB23" s="4">
        <v>3.7</v>
      </c>
      <c r="AC23" s="4">
        <v>10</v>
      </c>
      <c r="AD23" s="4"/>
      <c r="AE23" s="4">
        <v>83</v>
      </c>
      <c r="AF23" s="4"/>
      <c r="AG23" s="5">
        <v>6.497</v>
      </c>
      <c r="AH23" s="5"/>
      <c r="AI23" s="4" t="inlineStr">
        <is>
          <t>Oui</t>
        </is>
      </c>
      <c r="AJ23" s="4" t="inlineStr">
        <is>
          <t>à déterminer (uréase/nitrification)</t>
        </is>
      </c>
    </row>
    <row r="24" spans="1:37" x14ac:dyDescent="0.3">
      <c r="A24" s="3">
        <v>20</v>
      </c>
      <c r="B24" s="3" t="s">
        <v>205</v>
      </c>
      <c r="C24" s="3" t="s">
        <v>198</v>
      </c>
      <c r="D24" s="3">
        <v>2023</v>
      </c>
      <c r="E24" s="11">
        <v>45027</v>
      </c>
      <c r="F24" s="4" t="s">
        <v>76</v>
      </c>
      <c r="G24" s="4" t="inlineStr">
        <is>
          <t>Additif</t>
        </is>
      </c>
      <c r="H24" s="4">
        <v>0</v>
      </c>
      <c r="I24" s="4">
        <v>0</v>
      </c>
      <c r="J24" s="19" t="s">
        <v>58</v>
      </c>
      <c r="K24" s="27" t="s">
        <v>37</v>
      </c>
      <c r="L24" s="4"/>
      <c r="M24" s="4"/>
      <c r="N24" s="4"/>
      <c r="O24" s="4"/>
      <c r="P24" s="4"/>
      <c r="Q24" s="4"/>
      <c r="R24" s="4">
        <v>7.5</v>
      </c>
      <c r="S24" s="4">
        <v>2</v>
      </c>
      <c r="T24" s="4">
        <v>12.3</v>
      </c>
      <c r="U24" s="4">
        <v>20.3</v>
      </c>
      <c r="V24" s="4">
        <v>71.599999999999994</v>
      </c>
      <c r="W24" s="4">
        <v>8.1</v>
      </c>
      <c r="X24" s="4">
        <v>16.7</v>
      </c>
      <c r="Y24" s="4">
        <v>19.8</v>
      </c>
      <c r="Z24" s="28">
        <v>1.35</v>
      </c>
      <c r="AA24" s="4">
        <v>9.3000000000000007</v>
      </c>
      <c r="AB24" s="4">
        <v>3.7</v>
      </c>
      <c r="AC24" s="4">
        <v>10</v>
      </c>
      <c r="AD24" s="4"/>
      <c r="AE24" s="4">
        <v>83</v>
      </c>
      <c r="AF24" s="4"/>
      <c r="AG24" s="5">
        <v>0.0</v>
      </c>
      <c r="AH24" s="5"/>
      <c r="AI24" s="4" t="inlineStr">
        <is>
          <t>Non</t>
        </is>
      </c>
      <c r="AK24" s="4" t="inlineStr">
        <is>
          <t>Inhibiteur (sans N) — non-émetteur, exclure du calcul EMEP</t>
        </is>
      </c>
    </row>
    <row r="25" spans="1:37" x14ac:dyDescent="0.3">
      <c r="A25" s="3">
        <v>21</v>
      </c>
      <c r="B25" s="3" t="s">
        <v>205</v>
      </c>
      <c r="C25" s="3" t="s">
        <v>198</v>
      </c>
      <c r="D25" s="3">
        <v>2023</v>
      </c>
      <c r="E25" s="11">
        <v>45038</v>
      </c>
      <c r="F25" s="4" t="s">
        <v>59</v>
      </c>
      <c r="G25" s="4" t="s">
        <v>42</v>
      </c>
      <c r="H25" s="4">
        <v>29</v>
      </c>
      <c r="I25" s="4"/>
      <c r="J25" s="19" t="s">
        <v>58</v>
      </c>
      <c r="K25" s="27" t="s">
        <v>37</v>
      </c>
      <c r="L25" s="4"/>
      <c r="M25" s="4"/>
      <c r="N25" s="4"/>
      <c r="O25" s="4"/>
      <c r="P25" s="4"/>
      <c r="Q25" s="4"/>
      <c r="R25" s="4">
        <v>7.5</v>
      </c>
      <c r="S25" s="4">
        <v>2</v>
      </c>
      <c r="T25" s="4">
        <v>12.3</v>
      </c>
      <c r="U25" s="4">
        <v>20.3</v>
      </c>
      <c r="V25" s="4">
        <v>71.599999999999994</v>
      </c>
      <c r="W25" s="4">
        <v>8.1</v>
      </c>
      <c r="X25" s="4">
        <v>16.7</v>
      </c>
      <c r="Y25" s="4">
        <v>19.8</v>
      </c>
      <c r="Z25" s="28">
        <v>1.35</v>
      </c>
      <c r="AA25" s="4">
        <v>10.5</v>
      </c>
      <c r="AB25" s="4">
        <v>2.2000000000000002</v>
      </c>
      <c r="AC25" s="4">
        <v>4</v>
      </c>
      <c r="AD25" s="4"/>
      <c r="AE25" s="4">
        <v>78</v>
      </c>
      <c r="AF25" s="4"/>
      <c r="AG25" s="5">
        <v>3.845</v>
      </c>
      <c r="AH25" s="5"/>
      <c r="AI25" s="4" t="inlineStr">
        <is>
          <t>Non</t>
        </is>
      </c>
    </row>
    <row r="26" spans="1:37" x14ac:dyDescent="0.3">
      <c r="A26" s="3">
        <v>22</v>
      </c>
      <c r="B26" s="3" t="s">
        <v>205</v>
      </c>
      <c r="C26" s="3" t="s">
        <v>198</v>
      </c>
      <c r="D26" s="3">
        <v>2024</v>
      </c>
      <c r="E26" s="11">
        <v>45376</v>
      </c>
      <c r="F26" s="4" t="s">
        <v>59</v>
      </c>
      <c r="G26" s="4" t="s">
        <v>42</v>
      </c>
      <c r="H26" s="4">
        <v>125</v>
      </c>
      <c r="I26" s="4"/>
      <c r="J26" s="19" t="s">
        <v>58</v>
      </c>
      <c r="K26" s="27" t="s">
        <v>37</v>
      </c>
      <c r="L26" s="4"/>
      <c r="M26" s="4"/>
      <c r="N26" s="4"/>
      <c r="O26" s="4"/>
      <c r="P26" s="4"/>
      <c r="Q26" s="4"/>
      <c r="R26" s="4">
        <v>7.5</v>
      </c>
      <c r="S26" s="4">
        <v>2</v>
      </c>
      <c r="T26" s="4">
        <v>12.3</v>
      </c>
      <c r="U26" s="4">
        <v>20.3</v>
      </c>
      <c r="V26" s="4">
        <v>71.599999999999994</v>
      </c>
      <c r="W26" s="4">
        <v>8.1</v>
      </c>
      <c r="X26" s="4">
        <v>16.7</v>
      </c>
      <c r="Y26" s="4">
        <v>19.8</v>
      </c>
      <c r="Z26" s="28">
        <v>1.35</v>
      </c>
      <c r="AA26" s="4">
        <v>7.6</v>
      </c>
      <c r="AB26" s="4">
        <v>2.7</v>
      </c>
      <c r="AC26" s="4">
        <v>0.5</v>
      </c>
      <c r="AD26" s="4"/>
      <c r="AE26" s="4">
        <v>71</v>
      </c>
      <c r="AF26" s="4"/>
      <c r="AG26" s="5">
        <v>16.574</v>
      </c>
      <c r="AH26" s="5"/>
      <c r="AI26" s="4" t="inlineStr">
        <is>
          <t>Non</t>
        </is>
      </c>
    </row>
    <row r="27" spans="1:37" x14ac:dyDescent="0.3">
      <c r="A27" s="3">
        <v>23</v>
      </c>
      <c r="B27" s="3" t="s">
        <v>205</v>
      </c>
      <c r="C27" s="3" t="s">
        <v>198</v>
      </c>
      <c r="D27" s="3">
        <v>2025</v>
      </c>
      <c r="E27" s="11">
        <v>45784</v>
      </c>
      <c r="F27" s="4" t="s">
        <v>59</v>
      </c>
      <c r="G27" s="4" t="s">
        <v>42</v>
      </c>
      <c r="H27" s="4">
        <v>117</v>
      </c>
      <c r="I27" s="4"/>
      <c r="J27" s="19" t="s">
        <v>58</v>
      </c>
      <c r="K27" s="27" t="s">
        <v>37</v>
      </c>
      <c r="L27" s="4"/>
      <c r="M27" s="4"/>
      <c r="N27" s="4"/>
      <c r="O27" s="4"/>
      <c r="P27" s="4"/>
      <c r="Q27" s="4"/>
      <c r="R27" s="4">
        <v>7.5</v>
      </c>
      <c r="S27" s="4">
        <v>2</v>
      </c>
      <c r="T27" s="4">
        <v>12.3</v>
      </c>
      <c r="U27" s="4">
        <v>20.3</v>
      </c>
      <c r="V27" s="4">
        <v>71.599999999999994</v>
      </c>
      <c r="W27" s="4">
        <v>8.1</v>
      </c>
      <c r="X27" s="4">
        <v>16.7</v>
      </c>
      <c r="Y27" s="4">
        <v>19.8</v>
      </c>
      <c r="Z27" s="28">
        <v>1.35</v>
      </c>
      <c r="AA27" s="4">
        <v>10.8</v>
      </c>
      <c r="AB27" s="4">
        <v>3.1</v>
      </c>
      <c r="AC27" s="4">
        <v>0</v>
      </c>
      <c r="AD27" s="4"/>
      <c r="AE27" s="4">
        <v>69</v>
      </c>
      <c r="AF27" s="4"/>
      <c r="AG27" s="5">
        <v>15.513</v>
      </c>
      <c r="AH27" s="5"/>
      <c r="AI27" s="4" t="inlineStr">
        <is>
          <t>Non</t>
        </is>
      </c>
    </row>
    <row r="28" spans="1:37" x14ac:dyDescent="0.3">
      <c r="A28" s="3">
        <v>24</v>
      </c>
      <c r="B28" s="3" t="s">
        <v>205</v>
      </c>
      <c r="C28" s="3" t="s">
        <v>198</v>
      </c>
      <c r="D28" s="3">
        <v>2025</v>
      </c>
      <c r="E28" s="11">
        <v>45785</v>
      </c>
      <c r="F28" s="4" t="s">
        <v>59</v>
      </c>
      <c r="G28" s="4" t="s">
        <v>42</v>
      </c>
      <c r="H28" s="4">
        <v>58.5</v>
      </c>
      <c r="I28" s="4"/>
      <c r="J28" s="19" t="s">
        <v>58</v>
      </c>
      <c r="K28" s="27" t="s">
        <v>37</v>
      </c>
      <c r="L28" s="4"/>
      <c r="M28" s="4"/>
      <c r="N28" s="4"/>
      <c r="O28" s="4"/>
      <c r="P28" s="4"/>
      <c r="Q28" s="4"/>
      <c r="R28" s="4">
        <v>7.5</v>
      </c>
      <c r="S28" s="4">
        <v>2</v>
      </c>
      <c r="T28" s="4">
        <v>12.3</v>
      </c>
      <c r="U28" s="4">
        <v>20.3</v>
      </c>
      <c r="V28" s="4">
        <v>71.599999999999994</v>
      </c>
      <c r="W28" s="4">
        <v>8.1</v>
      </c>
      <c r="X28" s="4">
        <v>16.7</v>
      </c>
      <c r="Y28" s="4">
        <v>19.8</v>
      </c>
      <c r="Z28" s="28">
        <v>1.35</v>
      </c>
      <c r="AA28" s="4">
        <v>12.4</v>
      </c>
      <c r="AB28" s="4">
        <v>2.7</v>
      </c>
      <c r="AC28" s="4">
        <v>0</v>
      </c>
      <c r="AD28" s="4"/>
      <c r="AE28" s="4">
        <v>66</v>
      </c>
      <c r="AF28" s="4"/>
      <c r="AG28" s="5">
        <v>7.756</v>
      </c>
      <c r="AH28" s="5"/>
      <c r="AI28" s="4" t="inlineStr">
        <is>
          <t>Non</t>
        </is>
      </c>
    </row>
    <row r="29" spans="1:37" x14ac:dyDescent="0.3">
      <c r="A29" s="3">
        <v>25</v>
      </c>
      <c r="B29" s="3" t="s">
        <v>206</v>
      </c>
      <c r="C29" s="3" t="s">
        <v>199</v>
      </c>
      <c r="D29" s="3">
        <v>2018</v>
      </c>
      <c r="E29" s="11">
        <v>43185</v>
      </c>
      <c r="F29" s="4" t="s">
        <v>67</v>
      </c>
      <c r="G29" s="4" t="s">
        <v>51</v>
      </c>
      <c r="H29" s="4">
        <v>225</v>
      </c>
      <c r="I29" s="28">
        <f>H29*0.71</f>
        <v>159.75</v>
      </c>
      <c r="J29" s="19" t="s">
        <v>55</v>
      </c>
      <c r="K29" s="27" t="s">
        <v>37</v>
      </c>
      <c r="L29" s="4"/>
      <c r="M29" s="4"/>
      <c r="N29" s="4"/>
      <c r="O29" s="4"/>
      <c r="P29" s="4"/>
      <c r="Q29" s="4"/>
      <c r="R29" s="4">
        <v>7.6</v>
      </c>
      <c r="S29" s="4">
        <v>1</v>
      </c>
      <c r="T29" s="4">
        <v>13.1</v>
      </c>
      <c r="U29" s="4">
        <v>20.3</v>
      </c>
      <c r="V29" s="4">
        <v>71.599999999999994</v>
      </c>
      <c r="W29" s="4">
        <v>8.1</v>
      </c>
      <c r="X29" s="4">
        <v>16.600000000000001</v>
      </c>
      <c r="Y29" s="4">
        <v>21.5</v>
      </c>
      <c r="Z29" s="28">
        <v>1.31</v>
      </c>
      <c r="AA29" s="4">
        <v>8.6999999999999993</v>
      </c>
      <c r="AB29" s="4">
        <v>1.4</v>
      </c>
      <c r="AC29" s="4">
        <v>2</v>
      </c>
      <c r="AD29" s="4"/>
      <c r="AE29" s="4">
        <v>71</v>
      </c>
      <c r="AF29" s="15"/>
      <c r="AG29" s="5">
        <v>34.65</v>
      </c>
      <c r="AH29" s="5"/>
      <c r="AI29" s="4" t="inlineStr">
        <is>
          <t>Non</t>
        </is>
      </c>
    </row>
    <row r="30" spans="1:37" x14ac:dyDescent="0.3">
      <c r="A30" s="3">
        <v>26</v>
      </c>
      <c r="B30" s="3" t="s">
        <v>206</v>
      </c>
      <c r="C30" s="3" t="s">
        <v>199</v>
      </c>
      <c r="D30" s="3">
        <v>2018</v>
      </c>
      <c r="E30" s="11">
        <v>43188</v>
      </c>
      <c r="F30" s="4" t="s">
        <v>67</v>
      </c>
      <c r="G30" s="4" t="s">
        <v>51</v>
      </c>
      <c r="H30" s="4">
        <v>225</v>
      </c>
      <c r="I30" s="28">
        <f t="shared" ref="I30:I32" si="0">H30*0.71</f>
        <v>159.75</v>
      </c>
      <c r="J30" s="19" t="s">
        <v>55</v>
      </c>
      <c r="K30" s="27" t="s">
        <v>37</v>
      </c>
      <c r="L30" s="4"/>
      <c r="M30" s="4"/>
      <c r="N30" s="4"/>
      <c r="O30" s="4"/>
      <c r="P30" s="4"/>
      <c r="Q30" s="4"/>
      <c r="R30" s="4">
        <v>7.6</v>
      </c>
      <c r="S30" s="4">
        <v>1</v>
      </c>
      <c r="T30" s="4">
        <v>13.1</v>
      </c>
      <c r="U30" s="4">
        <v>20.3</v>
      </c>
      <c r="V30" s="4">
        <v>71.599999999999994</v>
      </c>
      <c r="W30" s="4">
        <v>8.1</v>
      </c>
      <c r="X30" s="4">
        <v>16.600000000000001</v>
      </c>
      <c r="Y30" s="4">
        <v>21.5</v>
      </c>
      <c r="Z30" s="28">
        <v>1.31</v>
      </c>
      <c r="AA30" s="4">
        <v>6.3</v>
      </c>
      <c r="AB30" s="4">
        <v>3.5</v>
      </c>
      <c r="AC30" s="4">
        <v>3.5</v>
      </c>
      <c r="AD30" s="4"/>
      <c r="AE30" s="4">
        <v>85</v>
      </c>
      <c r="AF30" s="15"/>
      <c r="AG30" s="5">
        <v>34.65</v>
      </c>
      <c r="AH30" s="5"/>
      <c r="AI30" s="4" t="inlineStr">
        <is>
          <t>Non</t>
        </is>
      </c>
    </row>
    <row r="31" spans="1:37" x14ac:dyDescent="0.3">
      <c r="A31" s="3">
        <v>27</v>
      </c>
      <c r="B31" s="3" t="s">
        <v>206</v>
      </c>
      <c r="C31" s="3" t="s">
        <v>199</v>
      </c>
      <c r="D31" s="3">
        <v>2019</v>
      </c>
      <c r="E31" s="11">
        <v>43521</v>
      </c>
      <c r="F31" s="4" t="s">
        <v>67</v>
      </c>
      <c r="G31" s="4" t="s">
        <v>51</v>
      </c>
      <c r="H31" s="4">
        <v>98</v>
      </c>
      <c r="I31" s="28">
        <f t="shared" si="0"/>
        <v>69.58</v>
      </c>
      <c r="J31" s="19" t="s">
        <v>55</v>
      </c>
      <c r="K31" s="27" t="s">
        <v>37</v>
      </c>
      <c r="L31" s="4"/>
      <c r="M31" s="4"/>
      <c r="N31" s="4"/>
      <c r="O31" s="4"/>
      <c r="P31" s="4"/>
      <c r="Q31" s="4"/>
      <c r="R31" s="4">
        <v>7.6</v>
      </c>
      <c r="S31" s="4">
        <v>1</v>
      </c>
      <c r="T31" s="4">
        <v>13.1</v>
      </c>
      <c r="U31" s="4">
        <v>20.3</v>
      </c>
      <c r="V31" s="4">
        <v>71.599999999999994</v>
      </c>
      <c r="W31" s="4">
        <v>8.1</v>
      </c>
      <c r="X31" s="4">
        <v>16.600000000000001</v>
      </c>
      <c r="Y31" s="4">
        <v>21.5</v>
      </c>
      <c r="Z31" s="28">
        <v>1.31</v>
      </c>
      <c r="AA31" s="4">
        <v>9.1</v>
      </c>
      <c r="AB31" s="4">
        <v>1.7</v>
      </c>
      <c r="AC31" s="4">
        <v>0</v>
      </c>
      <c r="AD31" s="4"/>
      <c r="AE31" s="4">
        <v>54</v>
      </c>
      <c r="AF31" s="4"/>
      <c r="AG31" s="5">
        <v>15.092</v>
      </c>
      <c r="AH31" s="5"/>
      <c r="AI31" s="4" t="inlineStr">
        <is>
          <t>Non</t>
        </is>
      </c>
    </row>
    <row r="32" spans="1:37" x14ac:dyDescent="0.3">
      <c r="A32" s="3">
        <v>28</v>
      </c>
      <c r="B32" s="3" t="s">
        <v>206</v>
      </c>
      <c r="C32" s="3" t="s">
        <v>199</v>
      </c>
      <c r="D32" s="3">
        <v>2020</v>
      </c>
      <c r="E32" s="11">
        <v>43879</v>
      </c>
      <c r="F32" s="4" t="s">
        <v>67</v>
      </c>
      <c r="G32" s="4" t="s">
        <v>51</v>
      </c>
      <c r="H32" s="4">
        <v>114</v>
      </c>
      <c r="I32" s="28">
        <f t="shared" si="0"/>
        <v>80.94</v>
      </c>
      <c r="J32" s="19" t="s">
        <v>55</v>
      </c>
      <c r="K32" s="27" t="s">
        <v>37</v>
      </c>
      <c r="L32" s="4"/>
      <c r="M32" s="4"/>
      <c r="N32" s="4"/>
      <c r="O32" s="4"/>
      <c r="P32" s="4"/>
      <c r="Q32" s="4"/>
      <c r="R32" s="4">
        <v>7.6</v>
      </c>
      <c r="S32" s="4">
        <v>1</v>
      </c>
      <c r="T32" s="4">
        <v>13.1</v>
      </c>
      <c r="U32" s="4">
        <v>20.3</v>
      </c>
      <c r="V32" s="4">
        <v>71.599999999999994</v>
      </c>
      <c r="W32" s="4">
        <v>8.1</v>
      </c>
      <c r="X32" s="4">
        <v>16.600000000000001</v>
      </c>
      <c r="Y32" s="4">
        <v>21.5</v>
      </c>
      <c r="Z32" s="28">
        <v>1.31</v>
      </c>
      <c r="AA32" s="4">
        <v>7</v>
      </c>
      <c r="AB32" s="4">
        <v>4.9000000000000004</v>
      </c>
      <c r="AC32" s="4">
        <v>5.5</v>
      </c>
      <c r="AD32" s="4"/>
      <c r="AE32" s="4">
        <v>77</v>
      </c>
      <c r="AF32" s="4"/>
      <c r="AG32" s="5">
        <v>17.556</v>
      </c>
      <c r="AH32" s="5"/>
      <c r="AI32" s="4" t="inlineStr">
        <is>
          <t>Non</t>
        </is>
      </c>
    </row>
    <row r="33" spans="1:37" x14ac:dyDescent="0.3">
      <c r="A33" s="3">
        <v>29</v>
      </c>
      <c r="B33" s="3" t="s">
        <v>206</v>
      </c>
      <c r="C33" s="3" t="s">
        <v>199</v>
      </c>
      <c r="D33" s="3">
        <v>2020</v>
      </c>
      <c r="E33" s="11">
        <v>43898</v>
      </c>
      <c r="F33" s="4" t="s">
        <v>73</v>
      </c>
      <c r="G33" s="4" t="s">
        <v>62</v>
      </c>
      <c r="H33" s="4"/>
      <c r="I33" s="4"/>
      <c r="J33" s="19" t="s">
        <v>58</v>
      </c>
      <c r="K33" s="27" t="s">
        <v>37</v>
      </c>
      <c r="L33" s="4"/>
      <c r="M33" s="4"/>
      <c r="N33" s="4"/>
      <c r="O33" s="4"/>
      <c r="P33" s="4"/>
      <c r="Q33" s="4"/>
      <c r="R33" s="4">
        <v>7.6</v>
      </c>
      <c r="S33" s="4">
        <v>1</v>
      </c>
      <c r="T33" s="4">
        <v>13.1</v>
      </c>
      <c r="U33" s="4">
        <v>20.3</v>
      </c>
      <c r="V33" s="4">
        <v>71.599999999999994</v>
      </c>
      <c r="W33" s="4">
        <v>8.1</v>
      </c>
      <c r="X33" s="4">
        <v>16.600000000000001</v>
      </c>
      <c r="Y33" s="4">
        <v>21.5</v>
      </c>
      <c r="Z33" s="28">
        <v>1.31</v>
      </c>
      <c r="AA33" s="4">
        <v>8</v>
      </c>
      <c r="AB33" s="4">
        <v>4.7</v>
      </c>
      <c r="AC33" s="4">
        <v>3</v>
      </c>
      <c r="AD33" s="4"/>
      <c r="AE33" s="4">
        <v>88</v>
      </c>
      <c r="AF33" s="4"/>
      <c r="AG33" s="5">
        <v>0.0</v>
      </c>
      <c r="AH33" s="5"/>
      <c r="AI33" s="4" t="inlineStr">
        <is>
          <t>Non</t>
        </is>
      </c>
    </row>
    <row r="34" spans="1:37" x14ac:dyDescent="0.3">
      <c r="A34" s="3">
        <v>30</v>
      </c>
      <c r="B34" s="3" t="s">
        <v>206</v>
      </c>
      <c r="C34" s="3" t="s">
        <v>199</v>
      </c>
      <c r="D34" s="3">
        <v>2020</v>
      </c>
      <c r="E34" s="11">
        <v>43903</v>
      </c>
      <c r="F34" s="4" t="s">
        <v>67</v>
      </c>
      <c r="G34" s="4" t="s">
        <v>51</v>
      </c>
      <c r="H34" s="4">
        <v>78</v>
      </c>
      <c r="I34" s="28">
        <f t="shared" ref="I34:I35" si="1">H34*0.71</f>
        <v>55.379999999999995</v>
      </c>
      <c r="J34" s="19" t="s">
        <v>55</v>
      </c>
      <c r="K34" s="27" t="s">
        <v>37</v>
      </c>
      <c r="L34" s="4"/>
      <c r="M34" s="4"/>
      <c r="N34" s="4"/>
      <c r="O34" s="4"/>
      <c r="P34" s="4"/>
      <c r="Q34" s="4"/>
      <c r="R34" s="4">
        <v>7.6</v>
      </c>
      <c r="S34" s="4">
        <v>1</v>
      </c>
      <c r="T34" s="4">
        <v>13.1</v>
      </c>
      <c r="U34" s="4">
        <v>20.3</v>
      </c>
      <c r="V34" s="4">
        <v>71.599999999999994</v>
      </c>
      <c r="W34" s="4">
        <v>8.1</v>
      </c>
      <c r="X34" s="4">
        <v>16.600000000000001</v>
      </c>
      <c r="Y34" s="4">
        <v>21.5</v>
      </c>
      <c r="Z34" s="28">
        <v>1.31</v>
      </c>
      <c r="AA34" s="4">
        <v>7.3</v>
      </c>
      <c r="AB34" s="4">
        <v>3</v>
      </c>
      <c r="AC34" s="4">
        <v>0</v>
      </c>
      <c r="AD34" s="4"/>
      <c r="AE34" s="4">
        <v>69</v>
      </c>
      <c r="AF34" s="4"/>
      <c r="AG34" s="5">
        <v>12.012</v>
      </c>
      <c r="AH34" s="5"/>
      <c r="AI34" s="4" t="inlineStr">
        <is>
          <t>Non</t>
        </is>
      </c>
    </row>
    <row r="35" spans="1:37" x14ac:dyDescent="0.3">
      <c r="A35" s="3">
        <v>31</v>
      </c>
      <c r="B35" s="3" t="s">
        <v>206</v>
      </c>
      <c r="C35" s="3" t="s">
        <v>199</v>
      </c>
      <c r="D35" s="3">
        <v>2021</v>
      </c>
      <c r="E35" s="11">
        <v>44256</v>
      </c>
      <c r="F35" s="4" t="s">
        <v>67</v>
      </c>
      <c r="G35" s="4" t="s">
        <v>51</v>
      </c>
      <c r="H35" s="4">
        <v>117</v>
      </c>
      <c r="I35" s="28">
        <f t="shared" si="1"/>
        <v>83.07</v>
      </c>
      <c r="J35" s="19" t="s">
        <v>55</v>
      </c>
      <c r="K35" s="27" t="s">
        <v>37</v>
      </c>
      <c r="L35" s="4"/>
      <c r="M35" s="4"/>
      <c r="N35" s="4"/>
      <c r="O35" s="4"/>
      <c r="P35" s="4"/>
      <c r="Q35" s="4"/>
      <c r="R35" s="4">
        <v>7.6</v>
      </c>
      <c r="S35" s="4">
        <v>1</v>
      </c>
      <c r="T35" s="4">
        <v>13.1</v>
      </c>
      <c r="U35" s="4">
        <v>20.3</v>
      </c>
      <c r="V35" s="4">
        <v>71.599999999999994</v>
      </c>
      <c r="W35" s="4">
        <v>8.1</v>
      </c>
      <c r="X35" s="4">
        <v>16.600000000000001</v>
      </c>
      <c r="Y35" s="4">
        <v>21.5</v>
      </c>
      <c r="Z35" s="28">
        <v>1.18</v>
      </c>
      <c r="AA35" s="4">
        <v>6.5</v>
      </c>
      <c r="AB35" s="4">
        <v>2</v>
      </c>
      <c r="AC35" s="4">
        <v>0</v>
      </c>
      <c r="AD35" s="4"/>
      <c r="AE35" s="4">
        <v>69</v>
      </c>
      <c r="AF35" s="4"/>
      <c r="AG35" s="5">
        <v>18.018</v>
      </c>
      <c r="AH35" s="5"/>
      <c r="AI35" s="4" t="inlineStr">
        <is>
          <t>Non</t>
        </is>
      </c>
    </row>
    <row r="36" spans="1:37" x14ac:dyDescent="0.3">
      <c r="A36" s="3">
        <v>32</v>
      </c>
      <c r="B36" s="3" t="s">
        <v>206</v>
      </c>
      <c r="C36" s="3" t="s">
        <v>199</v>
      </c>
      <c r="D36" s="3">
        <v>2021</v>
      </c>
      <c r="E36" s="11">
        <v>44322</v>
      </c>
      <c r="F36" s="4" t="s">
        <v>59</v>
      </c>
      <c r="G36" s="4" t="s">
        <v>42</v>
      </c>
      <c r="H36" s="4">
        <v>58.5</v>
      </c>
      <c r="I36" s="4"/>
      <c r="J36" s="19" t="s">
        <v>58</v>
      </c>
      <c r="K36" s="27" t="s">
        <v>37</v>
      </c>
      <c r="L36" s="4"/>
      <c r="M36" s="4"/>
      <c r="N36" s="4"/>
      <c r="O36" s="4"/>
      <c r="P36" s="4"/>
      <c r="Q36" s="4"/>
      <c r="R36" s="4">
        <v>7.6</v>
      </c>
      <c r="S36" s="4">
        <v>1</v>
      </c>
      <c r="T36" s="4">
        <v>13.1</v>
      </c>
      <c r="U36" s="4">
        <v>20.3</v>
      </c>
      <c r="V36" s="4">
        <v>71.599999999999994</v>
      </c>
      <c r="W36" s="4">
        <v>8.1</v>
      </c>
      <c r="X36" s="4">
        <v>16.600000000000001</v>
      </c>
      <c r="Y36" s="4">
        <v>21.5</v>
      </c>
      <c r="Z36" s="28">
        <v>1.18</v>
      </c>
      <c r="AA36" s="4">
        <v>7.5</v>
      </c>
      <c r="AB36" s="4">
        <v>1.8</v>
      </c>
      <c r="AC36" s="4">
        <v>6.5</v>
      </c>
      <c r="AD36" s="4"/>
      <c r="AE36" s="4">
        <v>89</v>
      </c>
      <c r="AF36" s="4"/>
      <c r="AG36" s="5">
        <v>7.756</v>
      </c>
      <c r="AH36" s="5"/>
      <c r="AI36" s="4" t="inlineStr">
        <is>
          <t>Non</t>
        </is>
      </c>
    </row>
    <row r="37" spans="1:37" x14ac:dyDescent="0.3">
      <c r="A37" s="3">
        <v>33</v>
      </c>
      <c r="B37" s="3" t="s">
        <v>206</v>
      </c>
      <c r="C37" s="3" t="s">
        <v>199</v>
      </c>
      <c r="D37" s="3">
        <v>2022</v>
      </c>
      <c r="E37" s="11">
        <v>44673</v>
      </c>
      <c r="F37" s="4" t="s">
        <v>67</v>
      </c>
      <c r="G37" s="4" t="s">
        <v>51</v>
      </c>
      <c r="H37" s="4">
        <v>120</v>
      </c>
      <c r="I37" s="28">
        <f t="shared" ref="I37:I38" si="2">H37*0.71</f>
        <v>85.199999999999989</v>
      </c>
      <c r="J37" s="19" t="s">
        <v>55</v>
      </c>
      <c r="K37" s="27" t="s">
        <v>37</v>
      </c>
      <c r="L37" s="4"/>
      <c r="M37" s="4"/>
      <c r="N37" s="4"/>
      <c r="O37" s="4"/>
      <c r="P37" s="4"/>
      <c r="Q37" s="4"/>
      <c r="R37" s="4">
        <v>7.6</v>
      </c>
      <c r="S37" s="4">
        <v>1</v>
      </c>
      <c r="T37" s="4">
        <v>13.1</v>
      </c>
      <c r="U37" s="4">
        <v>20.3</v>
      </c>
      <c r="V37" s="4">
        <v>71.599999999999994</v>
      </c>
      <c r="W37" s="4">
        <v>8.1</v>
      </c>
      <c r="X37" s="4">
        <v>16.600000000000001</v>
      </c>
      <c r="Y37" s="4">
        <v>21.5</v>
      </c>
      <c r="Z37" s="28">
        <v>1.18</v>
      </c>
      <c r="AA37" s="4">
        <v>12.5</v>
      </c>
      <c r="AB37" s="4">
        <v>2.7</v>
      </c>
      <c r="AC37" s="4">
        <v>0</v>
      </c>
      <c r="AD37" s="4"/>
      <c r="AE37" s="4">
        <v>64</v>
      </c>
      <c r="AF37" s="4"/>
      <c r="AG37" s="5">
        <v>18.48</v>
      </c>
      <c r="AH37" s="5"/>
      <c r="AI37" s="4" t="inlineStr">
        <is>
          <t>Non</t>
        </is>
      </c>
    </row>
    <row r="38" spans="1:37" x14ac:dyDescent="0.3">
      <c r="A38" s="3">
        <v>34</v>
      </c>
      <c r="B38" s="3" t="s">
        <v>206</v>
      </c>
      <c r="C38" s="3" t="s">
        <v>199</v>
      </c>
      <c r="D38" s="3">
        <v>2023</v>
      </c>
      <c r="E38" s="11">
        <v>44991</v>
      </c>
      <c r="F38" s="4" t="s">
        <v>67</v>
      </c>
      <c r="G38" s="4" t="s">
        <v>51</v>
      </c>
      <c r="H38" s="4">
        <v>110</v>
      </c>
      <c r="I38" s="28">
        <f t="shared" si="2"/>
        <v>78.099999999999994</v>
      </c>
      <c r="J38" s="19" t="s">
        <v>55</v>
      </c>
      <c r="K38" s="27" t="s">
        <v>37</v>
      </c>
      <c r="L38" s="4"/>
      <c r="M38" s="4"/>
      <c r="N38" s="4"/>
      <c r="O38" s="4"/>
      <c r="P38" s="4"/>
      <c r="Q38" s="4"/>
      <c r="R38" s="4">
        <v>7.6</v>
      </c>
      <c r="S38" s="4">
        <v>1</v>
      </c>
      <c r="T38" s="4">
        <v>13.1</v>
      </c>
      <c r="U38" s="4">
        <v>20.3</v>
      </c>
      <c r="V38" s="4">
        <v>71.599999999999994</v>
      </c>
      <c r="W38" s="4">
        <v>8.1</v>
      </c>
      <c r="X38" s="4">
        <v>16.600000000000001</v>
      </c>
      <c r="Y38" s="4">
        <v>21.5</v>
      </c>
      <c r="Z38" s="28">
        <v>1.18</v>
      </c>
      <c r="AA38" s="4">
        <v>4.5999999999999996</v>
      </c>
      <c r="AB38" s="4">
        <v>2.7</v>
      </c>
      <c r="AC38" s="4">
        <v>0</v>
      </c>
      <c r="AD38" s="4"/>
      <c r="AE38" s="4">
        <v>75</v>
      </c>
      <c r="AF38" s="4"/>
      <c r="AG38" s="5">
        <v>16.94</v>
      </c>
      <c r="AH38" s="5"/>
      <c r="AI38" s="4" t="inlineStr">
        <is>
          <t>Non</t>
        </is>
      </c>
    </row>
    <row r="39" spans="1:37" x14ac:dyDescent="0.3">
      <c r="A39" s="3">
        <v>35</v>
      </c>
      <c r="B39" s="3" t="s">
        <v>206</v>
      </c>
      <c r="C39" s="3" t="s">
        <v>199</v>
      </c>
      <c r="D39" s="3">
        <v>2023</v>
      </c>
      <c r="E39" s="11">
        <v>45032</v>
      </c>
      <c r="F39" s="4" t="s">
        <v>74</v>
      </c>
      <c r="G39" s="4" t="s">
        <v>62</v>
      </c>
      <c r="H39" s="4"/>
      <c r="I39" s="4"/>
      <c r="J39" s="4"/>
      <c r="K39" s="27" t="s">
        <v>37</v>
      </c>
      <c r="L39" s="4"/>
      <c r="M39" s="4"/>
      <c r="N39" s="4"/>
      <c r="O39" s="4"/>
      <c r="P39" s="4"/>
      <c r="Q39" s="4"/>
      <c r="R39" s="4">
        <v>7.6</v>
      </c>
      <c r="S39" s="4">
        <v>1</v>
      </c>
      <c r="T39" s="4">
        <v>13.1</v>
      </c>
      <c r="U39" s="4">
        <v>20.3</v>
      </c>
      <c r="V39" s="4">
        <v>71.599999999999994</v>
      </c>
      <c r="W39" s="4">
        <v>8.1</v>
      </c>
      <c r="X39" s="4">
        <v>16.600000000000001</v>
      </c>
      <c r="Y39" s="4">
        <v>21.5</v>
      </c>
      <c r="Z39" s="28">
        <v>1.18</v>
      </c>
      <c r="AA39" s="4">
        <v>8.6</v>
      </c>
      <c r="AB39" s="4">
        <v>2.2999999999999998</v>
      </c>
      <c r="AC39" s="4">
        <v>0</v>
      </c>
      <c r="AD39" s="4"/>
      <c r="AE39" s="4">
        <v>73</v>
      </c>
      <c r="AF39" s="4"/>
      <c r="AG39" s="5">
        <v>0.0</v>
      </c>
      <c r="AH39" s="5"/>
      <c r="AI39" s="4" t="inlineStr">
        <is>
          <t>Non</t>
        </is>
      </c>
    </row>
    <row r="40" spans="1:37" x14ac:dyDescent="0.3">
      <c r="A40" s="3">
        <v>36</v>
      </c>
      <c r="B40" s="3" t="s">
        <v>206</v>
      </c>
      <c r="C40" s="3" t="s">
        <v>199</v>
      </c>
      <c r="D40" s="3">
        <v>2023</v>
      </c>
      <c r="E40" s="11">
        <v>45038</v>
      </c>
      <c r="F40" s="4" t="s">
        <v>59</v>
      </c>
      <c r="G40" s="4" t="s">
        <v>42</v>
      </c>
      <c r="H40" s="4">
        <v>29</v>
      </c>
      <c r="I40" s="4"/>
      <c r="J40" s="20" t="s">
        <v>58</v>
      </c>
      <c r="K40" s="27" t="s">
        <v>37</v>
      </c>
      <c r="L40" s="4"/>
      <c r="M40" s="4"/>
      <c r="N40" s="4"/>
      <c r="O40" s="4"/>
      <c r="P40" s="4"/>
      <c r="Q40" s="4"/>
      <c r="R40" s="4">
        <v>7.6</v>
      </c>
      <c r="S40" s="4">
        <v>1</v>
      </c>
      <c r="T40" s="4">
        <v>13.1</v>
      </c>
      <c r="U40" s="4">
        <v>20.3</v>
      </c>
      <c r="V40" s="4">
        <v>71.599999999999994</v>
      </c>
      <c r="W40" s="4">
        <v>8.1</v>
      </c>
      <c r="X40" s="4">
        <v>16.600000000000001</v>
      </c>
      <c r="Y40" s="4">
        <v>21.5</v>
      </c>
      <c r="Z40" s="28">
        <v>1.18</v>
      </c>
      <c r="AA40" s="4">
        <v>10.5</v>
      </c>
      <c r="AB40" s="4">
        <v>2.2000000000000002</v>
      </c>
      <c r="AC40" s="4">
        <v>4</v>
      </c>
      <c r="AD40" s="4"/>
      <c r="AE40" s="4">
        <v>78</v>
      </c>
      <c r="AF40" s="4"/>
      <c r="AG40" s="5">
        <v>3.845</v>
      </c>
      <c r="AH40" s="5"/>
      <c r="AI40" s="4" t="inlineStr">
        <is>
          <t>Non</t>
        </is>
      </c>
    </row>
    <row r="41" spans="1:37" x14ac:dyDescent="0.3">
      <c r="A41" s="3">
        <v>37</v>
      </c>
      <c r="B41" s="3" t="s">
        <v>206</v>
      </c>
      <c r="C41" s="3" t="s">
        <v>199</v>
      </c>
      <c r="D41" s="3">
        <v>2024</v>
      </c>
      <c r="E41" s="11">
        <v>45358</v>
      </c>
      <c r="F41" s="4" t="s">
        <v>59</v>
      </c>
      <c r="G41" s="4" t="s">
        <v>42</v>
      </c>
      <c r="H41" s="4">
        <v>39</v>
      </c>
      <c r="I41" s="4"/>
      <c r="J41" s="20" t="s">
        <v>58</v>
      </c>
      <c r="K41" s="27" t="s">
        <v>37</v>
      </c>
      <c r="L41" s="4"/>
      <c r="M41" s="4"/>
      <c r="N41" s="4"/>
      <c r="O41" s="4"/>
      <c r="P41" s="4"/>
      <c r="Q41" s="4"/>
      <c r="R41" s="4">
        <v>7.6</v>
      </c>
      <c r="S41" s="4">
        <v>1</v>
      </c>
      <c r="T41" s="4">
        <v>13.1</v>
      </c>
      <c r="U41" s="4">
        <v>20.3</v>
      </c>
      <c r="V41" s="4">
        <v>71.599999999999994</v>
      </c>
      <c r="W41" s="4">
        <v>8.1</v>
      </c>
      <c r="X41" s="4">
        <v>16.600000000000001</v>
      </c>
      <c r="Y41" s="4">
        <v>21.5</v>
      </c>
      <c r="Z41" s="28">
        <v>1.18</v>
      </c>
      <c r="AA41" s="4">
        <v>6.8</v>
      </c>
      <c r="AB41" s="4">
        <v>2.6</v>
      </c>
      <c r="AC41" s="4">
        <v>0</v>
      </c>
      <c r="AD41" s="4"/>
      <c r="AE41" s="4">
        <v>80</v>
      </c>
      <c r="AF41" s="4"/>
      <c r="AG41" s="5">
        <v>5.171</v>
      </c>
      <c r="AH41" s="5"/>
      <c r="AI41" s="4" t="inlineStr">
        <is>
          <t>Non</t>
        </is>
      </c>
    </row>
    <row r="42" spans="1:37" x14ac:dyDescent="0.3">
      <c r="A42" s="3">
        <v>38</v>
      </c>
      <c r="B42" s="3" t="s">
        <v>206</v>
      </c>
      <c r="C42" s="3" t="s">
        <v>199</v>
      </c>
      <c r="D42" s="3">
        <v>2024</v>
      </c>
      <c r="E42" s="11">
        <v>45372</v>
      </c>
      <c r="F42" s="4" t="s">
        <v>67</v>
      </c>
      <c r="G42" s="4" t="s">
        <v>51</v>
      </c>
      <c r="H42" s="4">
        <v>73</v>
      </c>
      <c r="I42" s="28">
        <f>H42*0.71</f>
        <v>51.83</v>
      </c>
      <c r="J42" s="20" t="s">
        <v>55</v>
      </c>
      <c r="K42" s="27" t="s">
        <v>37</v>
      </c>
      <c r="L42" s="4"/>
      <c r="M42" s="4"/>
      <c r="N42" s="4"/>
      <c r="O42" s="4"/>
      <c r="P42" s="4"/>
      <c r="Q42" s="4"/>
      <c r="R42" s="4">
        <v>7.6</v>
      </c>
      <c r="S42" s="4">
        <v>1</v>
      </c>
      <c r="T42" s="4">
        <v>13.1</v>
      </c>
      <c r="U42" s="4">
        <v>20.3</v>
      </c>
      <c r="V42" s="4">
        <v>71.599999999999994</v>
      </c>
      <c r="W42" s="4">
        <v>8.1</v>
      </c>
      <c r="X42" s="4">
        <v>16.600000000000001</v>
      </c>
      <c r="Y42" s="4">
        <v>21.5</v>
      </c>
      <c r="Z42" s="28">
        <v>1.18</v>
      </c>
      <c r="AA42" s="4">
        <v>12.6</v>
      </c>
      <c r="AB42" s="4">
        <v>1</v>
      </c>
      <c r="AC42" s="4">
        <v>0.5</v>
      </c>
      <c r="AD42" s="4"/>
      <c r="AE42" s="4">
        <v>75</v>
      </c>
      <c r="AF42" s="4"/>
      <c r="AG42" s="5">
        <v>11.242</v>
      </c>
      <c r="AH42" s="5"/>
      <c r="AI42" s="4" t="inlineStr">
        <is>
          <t>Non</t>
        </is>
      </c>
    </row>
    <row r="43" spans="1:37" x14ac:dyDescent="0.3">
      <c r="A43" s="3">
        <v>39</v>
      </c>
      <c r="B43" s="3" t="s">
        <v>206</v>
      </c>
      <c r="C43" s="3" t="s">
        <v>199</v>
      </c>
      <c r="D43" s="3">
        <v>2024</v>
      </c>
      <c r="E43" s="11">
        <v>45415</v>
      </c>
      <c r="F43" s="4" t="s">
        <v>77</v>
      </c>
      <c r="G43" s="4" t="s">
        <v>60</v>
      </c>
      <c r="H43" s="4"/>
      <c r="I43" s="4"/>
      <c r="J43" s="4"/>
      <c r="K43" s="27" t="s">
        <v>37</v>
      </c>
      <c r="L43" s="4"/>
      <c r="M43" s="4"/>
      <c r="N43" s="4"/>
      <c r="O43" s="4"/>
      <c r="P43" s="4"/>
      <c r="Q43" s="4"/>
      <c r="R43" s="4">
        <v>7.6</v>
      </c>
      <c r="S43" s="4">
        <v>1</v>
      </c>
      <c r="T43" s="4">
        <v>13.1</v>
      </c>
      <c r="U43" s="4">
        <v>20.3</v>
      </c>
      <c r="V43" s="4">
        <v>71.599999999999994</v>
      </c>
      <c r="W43" s="4">
        <v>8.1</v>
      </c>
      <c r="X43" s="4">
        <v>16.600000000000001</v>
      </c>
      <c r="Y43" s="4">
        <v>21.5</v>
      </c>
      <c r="Z43" s="28">
        <v>1.18</v>
      </c>
      <c r="AA43" s="4">
        <v>11.2</v>
      </c>
      <c r="AB43" s="4">
        <v>2.6</v>
      </c>
      <c r="AC43" s="4">
        <v>0.5</v>
      </c>
      <c r="AD43" s="4"/>
      <c r="AE43" s="4">
        <v>77</v>
      </c>
      <c r="AF43" s="4"/>
      <c r="AG43" s="5">
        <v>0.0</v>
      </c>
      <c r="AH43" s="5"/>
      <c r="AI43" s="4" t="inlineStr">
        <is>
          <t>Non</t>
        </is>
      </c>
    </row>
    <row r="44" spans="1:37" x14ac:dyDescent="0.3">
      <c r="A44" s="3">
        <v>40</v>
      </c>
      <c r="B44" s="3" t="s">
        <v>206</v>
      </c>
      <c r="C44" s="3" t="s">
        <v>199</v>
      </c>
      <c r="D44" s="3">
        <v>2025</v>
      </c>
      <c r="E44" s="11">
        <v>45713</v>
      </c>
      <c r="F44" s="4" t="s">
        <v>61</v>
      </c>
      <c r="G44" s="4" t="s">
        <v>42</v>
      </c>
      <c r="H44" s="13">
        <v>90</v>
      </c>
      <c r="I44" s="4"/>
      <c r="J44" s="21" t="s">
        <v>58</v>
      </c>
      <c r="K44" s="27" t="s">
        <v>37</v>
      </c>
      <c r="L44" s="4"/>
      <c r="M44" s="4"/>
      <c r="N44" s="4"/>
      <c r="O44" s="4"/>
      <c r="P44" s="4"/>
      <c r="Q44" s="4"/>
      <c r="R44" s="4">
        <v>7.6</v>
      </c>
      <c r="S44" s="4">
        <v>1</v>
      </c>
      <c r="T44" s="4">
        <v>13.1</v>
      </c>
      <c r="U44" s="4">
        <v>20.3</v>
      </c>
      <c r="V44" s="4">
        <v>71.599999999999994</v>
      </c>
      <c r="W44" s="4">
        <v>8.1</v>
      </c>
      <c r="X44" s="4">
        <v>16.600000000000001</v>
      </c>
      <c r="Y44" s="4">
        <v>21.5</v>
      </c>
      <c r="Z44" s="28">
        <v>1.18</v>
      </c>
      <c r="AA44" s="4">
        <v>7.7</v>
      </c>
      <c r="AB44" s="4">
        <v>3.4</v>
      </c>
      <c r="AC44" s="4">
        <v>12.5</v>
      </c>
      <c r="AD44" s="4"/>
      <c r="AE44" s="4">
        <v>91</v>
      </c>
      <c r="AF44" s="4"/>
      <c r="AG44" s="5">
        <v>11.933</v>
      </c>
      <c r="AH44" s="5"/>
      <c r="AI44" s="4" t="inlineStr">
        <is>
          <t>Non</t>
        </is>
      </c>
    </row>
    <row r="45" spans="1:37" x14ac:dyDescent="0.3">
      <c r="A45" s="3">
        <v>41</v>
      </c>
      <c r="B45" s="3" t="s">
        <v>206</v>
      </c>
      <c r="C45" s="3" t="s">
        <v>199</v>
      </c>
      <c r="D45" s="3">
        <v>2025</v>
      </c>
      <c r="E45" s="11">
        <v>45722</v>
      </c>
      <c r="F45" s="4" t="s">
        <v>68</v>
      </c>
      <c r="G45" s="4" t="s">
        <v>51</v>
      </c>
      <c r="H45" s="4">
        <v>137</v>
      </c>
      <c r="I45" s="4"/>
      <c r="J45" s="21" t="s">
        <v>55</v>
      </c>
      <c r="K45" s="27" t="s">
        <v>37</v>
      </c>
      <c r="L45" s="4"/>
      <c r="M45" s="4"/>
      <c r="N45" s="4"/>
      <c r="O45" s="4"/>
      <c r="P45" s="4"/>
      <c r="Q45" s="4"/>
      <c r="R45" s="4">
        <v>7.6</v>
      </c>
      <c r="S45" s="4">
        <v>1</v>
      </c>
      <c r="T45" s="4">
        <v>13.1</v>
      </c>
      <c r="U45" s="4">
        <v>20.3</v>
      </c>
      <c r="V45" s="4">
        <v>71.599999999999994</v>
      </c>
      <c r="W45" s="4">
        <v>8.1</v>
      </c>
      <c r="X45" s="4">
        <v>16.600000000000001</v>
      </c>
      <c r="Y45" s="4">
        <v>21.5</v>
      </c>
      <c r="Z45" s="28">
        <v>1.18</v>
      </c>
      <c r="AA45" s="4">
        <v>10.7</v>
      </c>
      <c r="AB45" s="4">
        <v>2</v>
      </c>
      <c r="AC45" s="4">
        <v>0</v>
      </c>
      <c r="AD45" s="4"/>
      <c r="AE45" s="4">
        <v>56</v>
      </c>
      <c r="AF45" s="4"/>
      <c r="AG45" s="5">
        <v>21.098</v>
      </c>
      <c r="AH45" s="5"/>
      <c r="AI45" s="4" t="inlineStr">
        <is>
          <t>Non</t>
        </is>
      </c>
    </row>
    <row r="46" spans="1:37" x14ac:dyDescent="0.3">
      <c r="A46" s="3">
        <v>42</v>
      </c>
      <c r="B46" s="3" t="s">
        <v>206</v>
      </c>
      <c r="C46" s="3" t="s">
        <v>199</v>
      </c>
      <c r="D46" s="3">
        <v>2025</v>
      </c>
      <c r="E46" s="11">
        <v>45735</v>
      </c>
      <c r="F46" s="4" t="s">
        <v>73</v>
      </c>
      <c r="G46" s="4" t="s">
        <v>62</v>
      </c>
      <c r="H46" s="4"/>
      <c r="I46" s="4"/>
      <c r="J46" s="4"/>
      <c r="K46" s="27" t="s">
        <v>37</v>
      </c>
      <c r="L46" s="4"/>
      <c r="M46" s="4"/>
      <c r="N46" s="4"/>
      <c r="O46" s="4"/>
      <c r="P46" s="4"/>
      <c r="Q46" s="4"/>
      <c r="R46" s="4">
        <v>7.6</v>
      </c>
      <c r="S46" s="4">
        <v>1</v>
      </c>
      <c r="T46" s="4">
        <v>13.1</v>
      </c>
      <c r="U46" s="4">
        <v>20.3</v>
      </c>
      <c r="V46" s="4">
        <v>71.599999999999994</v>
      </c>
      <c r="W46" s="4">
        <v>8.1</v>
      </c>
      <c r="X46" s="4">
        <v>16.600000000000001</v>
      </c>
      <c r="Y46" s="4">
        <v>21.5</v>
      </c>
      <c r="Z46" s="28">
        <v>1.18</v>
      </c>
      <c r="AA46" s="4">
        <v>11.1</v>
      </c>
      <c r="AB46" s="4">
        <v>2</v>
      </c>
      <c r="AC46" s="4">
        <v>0</v>
      </c>
      <c r="AD46" s="4"/>
      <c r="AE46" s="4">
        <v>61</v>
      </c>
      <c r="AF46" s="4"/>
      <c r="AG46" s="5">
        <v>0.0</v>
      </c>
      <c r="AH46" s="5"/>
      <c r="AI46" s="4" t="inlineStr">
        <is>
          <t>Non</t>
        </is>
      </c>
    </row>
    <row r="47" spans="1:37" x14ac:dyDescent="0.3">
      <c r="A47" s="3">
        <v>43</v>
      </c>
      <c r="B47" s="3" t="s">
        <v>207</v>
      </c>
      <c r="C47" s="3" t="s">
        <v>200</v>
      </c>
      <c r="D47" s="3">
        <v>2018</v>
      </c>
      <c r="E47" s="11">
        <v>43173</v>
      </c>
      <c r="F47" s="4" t="s">
        <v>56</v>
      </c>
      <c r="G47" s="4" t="s">
        <v>42</v>
      </c>
      <c r="H47" s="13">
        <v>39</v>
      </c>
      <c r="I47" s="4"/>
      <c r="J47" s="22" t="s">
        <v>58</v>
      </c>
      <c r="K47" s="27" t="s">
        <v>37</v>
      </c>
      <c r="L47" s="4"/>
      <c r="M47" s="4"/>
      <c r="N47" s="4"/>
      <c r="O47" s="4"/>
      <c r="P47" s="4"/>
      <c r="Q47" s="4"/>
      <c r="R47" s="4">
        <v>7.8</v>
      </c>
      <c r="S47" s="4">
        <v>3</v>
      </c>
      <c r="T47" s="4">
        <v>13.9</v>
      </c>
      <c r="U47" s="4">
        <v>20.3</v>
      </c>
      <c r="V47" s="4">
        <v>71.599999999999994</v>
      </c>
      <c r="W47" s="4">
        <v>8.1</v>
      </c>
      <c r="X47" s="4">
        <v>15.7</v>
      </c>
      <c r="Y47" s="4">
        <v>22.8</v>
      </c>
      <c r="Z47" s="28">
        <v>1.37</v>
      </c>
      <c r="AA47" s="4">
        <v>8.8000000000000007</v>
      </c>
      <c r="AB47" s="4">
        <v>3.8</v>
      </c>
      <c r="AC47" s="4">
        <v>7.5</v>
      </c>
      <c r="AD47" s="4"/>
      <c r="AE47" s="4">
        <v>73</v>
      </c>
      <c r="AF47" s="15"/>
      <c r="AG47" s="5">
        <v>5.171</v>
      </c>
      <c r="AH47" s="5"/>
      <c r="AI47" s="4" t="inlineStr">
        <is>
          <t>Non</t>
        </is>
      </c>
    </row>
    <row r="48" spans="1:37" x14ac:dyDescent="0.3">
      <c r="A48" s="3">
        <v>44</v>
      </c>
      <c r="B48" s="3" t="s">
        <v>207</v>
      </c>
      <c r="C48" s="3" t="s">
        <v>200</v>
      </c>
      <c r="D48" s="3">
        <v>2018</v>
      </c>
      <c r="E48" s="11">
        <v>43186</v>
      </c>
      <c r="F48" s="4" t="s">
        <v>63</v>
      </c>
      <c r="G48" s="4" t="s">
        <v>42</v>
      </c>
      <c r="H48" s="4">
        <v>57</v>
      </c>
      <c r="I48" s="4"/>
      <c r="J48" s="22" t="s">
        <v>58</v>
      </c>
      <c r="K48" s="27" t="s">
        <v>37</v>
      </c>
      <c r="L48" s="4"/>
      <c r="M48" s="4"/>
      <c r="N48" s="4"/>
      <c r="O48" s="4"/>
      <c r="P48" s="4"/>
      <c r="Q48" s="4"/>
      <c r="R48" s="4">
        <v>7.8</v>
      </c>
      <c r="S48" s="4">
        <v>3</v>
      </c>
      <c r="T48" s="4">
        <v>13.9</v>
      </c>
      <c r="U48" s="4">
        <v>20.3</v>
      </c>
      <c r="V48" s="4">
        <v>71.599999999999994</v>
      </c>
      <c r="W48" s="4">
        <v>8.1</v>
      </c>
      <c r="X48" s="4">
        <v>15.7</v>
      </c>
      <c r="Y48" s="4">
        <v>22.8</v>
      </c>
      <c r="Z48" s="28">
        <v>1.37</v>
      </c>
      <c r="AA48" s="4">
        <v>8.5</v>
      </c>
      <c r="AB48" s="4">
        <v>4</v>
      </c>
      <c r="AC48" s="4">
        <v>4</v>
      </c>
      <c r="AD48" s="4"/>
      <c r="AE48" s="4">
        <v>88</v>
      </c>
      <c r="AF48" s="15"/>
      <c r="AG48" s="5">
        <v>7.558</v>
      </c>
      <c r="AH48" s="5"/>
      <c r="AI48" s="4" t="inlineStr">
        <is>
          <t>Non</t>
        </is>
      </c>
    </row>
    <row r="49" spans="1:37" x14ac:dyDescent="0.3">
      <c r="A49" s="3">
        <v>45</v>
      </c>
      <c r="B49" s="3" t="s">
        <v>207</v>
      </c>
      <c r="C49" s="3" t="s">
        <v>200</v>
      </c>
      <c r="D49" s="3">
        <v>2018</v>
      </c>
      <c r="E49" s="11">
        <v>43202</v>
      </c>
      <c r="F49" s="4" t="s">
        <v>59</v>
      </c>
      <c r="G49" s="4" t="s">
        <v>42</v>
      </c>
      <c r="H49" s="4">
        <v>58.5</v>
      </c>
      <c r="I49" s="4"/>
      <c r="J49" s="22" t="s">
        <v>58</v>
      </c>
      <c r="K49" s="27" t="s">
        <v>37</v>
      </c>
      <c r="L49" s="4"/>
      <c r="M49" s="4"/>
      <c r="N49" s="4"/>
      <c r="O49" s="4"/>
      <c r="P49" s="4"/>
      <c r="Q49" s="4"/>
      <c r="R49" s="4">
        <v>7.8</v>
      </c>
      <c r="S49" s="4">
        <v>3</v>
      </c>
      <c r="T49" s="4">
        <v>13.9</v>
      </c>
      <c r="U49" s="4">
        <v>20.3</v>
      </c>
      <c r="V49" s="4">
        <v>71.599999999999994</v>
      </c>
      <c r="W49" s="4">
        <v>8.1</v>
      </c>
      <c r="X49" s="4">
        <v>15.7</v>
      </c>
      <c r="Y49" s="4">
        <v>22.8</v>
      </c>
      <c r="Z49" s="28">
        <v>1.37</v>
      </c>
      <c r="AA49" s="4">
        <v>10.6</v>
      </c>
      <c r="AB49" s="4">
        <v>1.6</v>
      </c>
      <c r="AC49" s="4">
        <v>11.5</v>
      </c>
      <c r="AD49" s="4"/>
      <c r="AE49" s="4">
        <v>90</v>
      </c>
      <c r="AF49" s="4"/>
      <c r="AG49" s="5">
        <v>7.756</v>
      </c>
      <c r="AH49" s="5"/>
      <c r="AI49" s="4" t="inlineStr">
        <is>
          <t>Non</t>
        </is>
      </c>
    </row>
    <row r="50" spans="1:37" x14ac:dyDescent="0.3">
      <c r="A50" s="3">
        <v>46</v>
      </c>
      <c r="B50" s="3" t="s">
        <v>207</v>
      </c>
      <c r="C50" s="3" t="s">
        <v>200</v>
      </c>
      <c r="D50" s="3">
        <v>2018</v>
      </c>
      <c r="E50" s="11">
        <v>43219</v>
      </c>
      <c r="F50" s="4" t="s">
        <v>59</v>
      </c>
      <c r="G50" s="4" t="s">
        <v>42</v>
      </c>
      <c r="H50" s="4">
        <v>43</v>
      </c>
      <c r="I50" s="4"/>
      <c r="J50" s="22" t="s">
        <v>58</v>
      </c>
      <c r="K50" s="27" t="s">
        <v>37</v>
      </c>
      <c r="L50" s="4"/>
      <c r="M50" s="4"/>
      <c r="N50" s="4"/>
      <c r="O50" s="4"/>
      <c r="P50" s="4"/>
      <c r="Q50" s="4"/>
      <c r="R50" s="4">
        <v>7.8</v>
      </c>
      <c r="S50" s="4">
        <v>3</v>
      </c>
      <c r="T50" s="4">
        <v>13.9</v>
      </c>
      <c r="U50" s="4">
        <v>20.3</v>
      </c>
      <c r="V50" s="4">
        <v>71.599999999999994</v>
      </c>
      <c r="W50" s="4">
        <v>8.1</v>
      </c>
      <c r="X50" s="4">
        <v>15.7</v>
      </c>
      <c r="Y50" s="4">
        <v>22.8</v>
      </c>
      <c r="Z50" s="28">
        <v>1.37</v>
      </c>
      <c r="AA50" s="4">
        <v>9.8000000000000007</v>
      </c>
      <c r="AB50" s="4">
        <v>2.6</v>
      </c>
      <c r="AC50" s="4">
        <v>8</v>
      </c>
      <c r="AD50" s="4"/>
      <c r="AE50" s="4">
        <v>96</v>
      </c>
      <c r="AF50" s="4"/>
      <c r="AG50" s="5">
        <v>5.701</v>
      </c>
      <c r="AH50" s="5"/>
      <c r="AI50" s="4" t="inlineStr">
        <is>
          <t>Non</t>
        </is>
      </c>
    </row>
    <row r="51" spans="1:37" x14ac:dyDescent="0.3">
      <c r="A51" s="3">
        <v>47</v>
      </c>
      <c r="B51" s="3" t="s">
        <v>207</v>
      </c>
      <c r="C51" s="3" t="s">
        <v>200</v>
      </c>
      <c r="D51" s="3">
        <v>2018</v>
      </c>
      <c r="E51" s="11">
        <v>43232</v>
      </c>
      <c r="F51" s="4" t="s">
        <v>59</v>
      </c>
      <c r="G51" s="4" t="s">
        <v>42</v>
      </c>
      <c r="H51" s="4">
        <v>31.2</v>
      </c>
      <c r="I51" s="4"/>
      <c r="J51" s="22" t="s">
        <v>58</v>
      </c>
      <c r="K51" s="27" t="s">
        <v>37</v>
      </c>
      <c r="L51" s="4"/>
      <c r="M51" s="4"/>
      <c r="N51" s="4"/>
      <c r="O51" s="4"/>
      <c r="P51" s="4"/>
      <c r="Q51" s="4"/>
      <c r="R51" s="4">
        <v>7.8</v>
      </c>
      <c r="S51" s="4">
        <v>3</v>
      </c>
      <c r="T51" s="4">
        <v>13.9</v>
      </c>
      <c r="U51" s="4">
        <v>20.3</v>
      </c>
      <c r="V51" s="4">
        <v>71.599999999999994</v>
      </c>
      <c r="W51" s="4">
        <v>8.1</v>
      </c>
      <c r="X51" s="4">
        <v>15.7</v>
      </c>
      <c r="Y51" s="4">
        <v>22.8</v>
      </c>
      <c r="Z51" s="28">
        <v>1.37</v>
      </c>
      <c r="AA51" s="4">
        <v>12.9</v>
      </c>
      <c r="AB51" s="4">
        <v>1.9</v>
      </c>
      <c r="AC51" s="4">
        <v>5</v>
      </c>
      <c r="AD51" s="4"/>
      <c r="AE51" s="4">
        <v>85</v>
      </c>
      <c r="AF51" s="4"/>
      <c r="AG51" s="5">
        <v>4.137</v>
      </c>
      <c r="AH51" s="5"/>
      <c r="AI51" s="4" t="inlineStr">
        <is>
          <t>Non</t>
        </is>
      </c>
    </row>
    <row r="52" spans="1:37" x14ac:dyDescent="0.3">
      <c r="A52" s="3">
        <v>48</v>
      </c>
      <c r="B52" s="3" t="s">
        <v>207</v>
      </c>
      <c r="C52" s="3" t="s">
        <v>200</v>
      </c>
      <c r="D52" s="3">
        <v>2019</v>
      </c>
      <c r="E52" s="11">
        <v>43512</v>
      </c>
      <c r="F52" s="4" t="s">
        <v>81</v>
      </c>
      <c r="G52" s="4" t="s">
        <v>42</v>
      </c>
      <c r="H52" s="4">
        <v>38</v>
      </c>
      <c r="I52" s="4"/>
      <c r="J52" s="22" t="s">
        <v>58</v>
      </c>
      <c r="K52" s="27" t="s">
        <v>37</v>
      </c>
      <c r="L52" s="4"/>
      <c r="M52" s="4"/>
      <c r="N52" s="4"/>
      <c r="O52" s="4"/>
      <c r="P52" s="4"/>
      <c r="Q52" s="4"/>
      <c r="R52" s="4">
        <v>7.8</v>
      </c>
      <c r="S52" s="4">
        <v>3</v>
      </c>
      <c r="T52" s="4">
        <v>13.9</v>
      </c>
      <c r="U52" s="4">
        <v>20.3</v>
      </c>
      <c r="V52" s="4">
        <v>71.599999999999994</v>
      </c>
      <c r="W52" s="4">
        <v>8.1</v>
      </c>
      <c r="X52" s="4">
        <v>15.7</v>
      </c>
      <c r="Y52" s="4">
        <v>22.8</v>
      </c>
      <c r="Z52" s="28">
        <v>1.37</v>
      </c>
      <c r="AA52" s="4">
        <v>8.6</v>
      </c>
      <c r="AB52" s="4">
        <v>1.4</v>
      </c>
      <c r="AC52" s="4">
        <v>0</v>
      </c>
      <c r="AD52" s="4"/>
      <c r="AE52" s="4">
        <v>71</v>
      </c>
      <c r="AF52" s="4"/>
      <c r="AG52" s="5">
        <v>5.038</v>
      </c>
      <c r="AH52" s="5"/>
      <c r="AI52" s="4" t="inlineStr">
        <is>
          <t>Non</t>
        </is>
      </c>
    </row>
    <row r="53" spans="1:37" x14ac:dyDescent="0.3">
      <c r="A53" s="3">
        <v>49</v>
      </c>
      <c r="B53" s="3" t="s">
        <v>207</v>
      </c>
      <c r="C53" s="3" t="s">
        <v>200</v>
      </c>
      <c r="D53" s="3">
        <v>2019</v>
      </c>
      <c r="E53" s="11">
        <v>43541</v>
      </c>
      <c r="F53" s="4" t="s">
        <v>59</v>
      </c>
      <c r="G53" s="4" t="s">
        <v>42</v>
      </c>
      <c r="H53" s="13">
        <v>57</v>
      </c>
      <c r="I53" s="4"/>
      <c r="J53" s="22" t="s">
        <v>58</v>
      </c>
      <c r="K53" s="27" t="s">
        <v>37</v>
      </c>
      <c r="L53" s="4"/>
      <c r="M53" s="4"/>
      <c r="N53" s="4"/>
      <c r="O53" s="4"/>
      <c r="P53" s="4"/>
      <c r="Q53" s="4"/>
      <c r="R53" s="4">
        <v>7.8</v>
      </c>
      <c r="S53" s="4">
        <v>3</v>
      </c>
      <c r="T53" s="4">
        <v>13.9</v>
      </c>
      <c r="U53" s="4">
        <v>20.3</v>
      </c>
      <c r="V53" s="4">
        <v>71.599999999999994</v>
      </c>
      <c r="W53" s="4">
        <v>8.1</v>
      </c>
      <c r="X53" s="4">
        <v>15.7</v>
      </c>
      <c r="Y53" s="4">
        <v>22.8</v>
      </c>
      <c r="Z53" s="28">
        <v>1.37</v>
      </c>
      <c r="AA53" s="4">
        <v>6.2</v>
      </c>
      <c r="AB53" s="4">
        <v>5</v>
      </c>
      <c r="AC53" s="4">
        <v>3.5</v>
      </c>
      <c r="AD53" s="4"/>
      <c r="AE53" s="4">
        <v>84</v>
      </c>
      <c r="AF53" s="4"/>
      <c r="AG53" s="5">
        <v>7.558</v>
      </c>
      <c r="AH53" s="5"/>
      <c r="AI53" s="4" t="inlineStr">
        <is>
          <t>Non</t>
        </is>
      </c>
    </row>
    <row r="54" spans="1:37" x14ac:dyDescent="0.3">
      <c r="A54" s="3">
        <v>50</v>
      </c>
      <c r="B54" s="3" t="s">
        <v>207</v>
      </c>
      <c r="C54" s="3" t="s">
        <v>200</v>
      </c>
      <c r="D54" s="3">
        <v>2019</v>
      </c>
      <c r="E54" s="11">
        <v>43581</v>
      </c>
      <c r="F54" s="4" t="s">
        <v>59</v>
      </c>
      <c r="G54" s="4" t="s">
        <v>42</v>
      </c>
      <c r="H54" s="4">
        <v>56.55</v>
      </c>
      <c r="I54" s="4"/>
      <c r="J54" s="22" t="s">
        <v>58</v>
      </c>
      <c r="K54" s="27" t="s">
        <v>37</v>
      </c>
      <c r="L54" s="4"/>
      <c r="M54" s="4"/>
      <c r="N54" s="4"/>
      <c r="O54" s="4"/>
      <c r="P54" s="4"/>
      <c r="Q54" s="4"/>
      <c r="R54" s="4">
        <v>7.8</v>
      </c>
      <c r="S54" s="4">
        <v>3</v>
      </c>
      <c r="T54" s="4">
        <v>13.9</v>
      </c>
      <c r="U54" s="4">
        <v>20.3</v>
      </c>
      <c r="V54" s="4">
        <v>71.599999999999994</v>
      </c>
      <c r="W54" s="4">
        <v>8.1</v>
      </c>
      <c r="X54" s="4">
        <v>15.7</v>
      </c>
      <c r="Y54" s="4">
        <v>22.8</v>
      </c>
      <c r="Z54" s="28">
        <v>1.37</v>
      </c>
      <c r="AA54" s="4">
        <v>11.4</v>
      </c>
      <c r="AB54" s="4">
        <v>3.2</v>
      </c>
      <c r="AC54" s="4">
        <v>1</v>
      </c>
      <c r="AD54" s="4"/>
      <c r="AE54" s="4">
        <v>75</v>
      </c>
      <c r="AF54" s="4"/>
      <c r="AG54" s="5">
        <v>7.498</v>
      </c>
      <c r="AH54" s="5"/>
      <c r="AI54" s="4" t="inlineStr">
        <is>
          <t>Non</t>
        </is>
      </c>
    </row>
    <row r="55" spans="1:37" x14ac:dyDescent="0.3">
      <c r="A55" s="3">
        <v>51</v>
      </c>
      <c r="B55" s="3" t="s">
        <v>207</v>
      </c>
      <c r="C55" s="3" t="s">
        <v>200</v>
      </c>
      <c r="D55" s="3">
        <v>2020</v>
      </c>
      <c r="E55" s="11">
        <v>43867</v>
      </c>
      <c r="F55" s="4" t="s">
        <v>78</v>
      </c>
      <c r="G55" s="4" t="s">
        <v>42</v>
      </c>
      <c r="H55" s="4">
        <v>51</v>
      </c>
      <c r="I55" s="4"/>
      <c r="J55" s="22" t="s">
        <v>58</v>
      </c>
      <c r="K55" s="27" t="s">
        <v>37</v>
      </c>
      <c r="L55" s="4"/>
      <c r="M55" s="4"/>
      <c r="N55" s="4"/>
      <c r="O55" s="4"/>
      <c r="P55" s="4"/>
      <c r="Q55" s="4"/>
      <c r="R55" s="4">
        <v>7.8</v>
      </c>
      <c r="S55" s="4">
        <v>3</v>
      </c>
      <c r="T55" s="4">
        <v>13.9</v>
      </c>
      <c r="U55" s="4">
        <v>20.3</v>
      </c>
      <c r="V55" s="4">
        <v>71.599999999999994</v>
      </c>
      <c r="W55" s="4">
        <v>8.1</v>
      </c>
      <c r="X55" s="4">
        <v>15.7</v>
      </c>
      <c r="Y55" s="4">
        <v>22.8</v>
      </c>
      <c r="Z55" s="28">
        <v>1.37</v>
      </c>
      <c r="AA55" s="4">
        <v>4.0999999999999996</v>
      </c>
      <c r="AB55" s="4">
        <v>1.9</v>
      </c>
      <c r="AC55" s="4">
        <v>0</v>
      </c>
      <c r="AD55" s="4"/>
      <c r="AE55" s="4">
        <v>80</v>
      </c>
      <c r="AF55" s="4"/>
      <c r="AG55" s="5">
        <v>6.762</v>
      </c>
      <c r="AH55" s="5"/>
      <c r="AI55" s="4" t="inlineStr">
        <is>
          <t>Non</t>
        </is>
      </c>
    </row>
    <row r="56" spans="1:37" x14ac:dyDescent="0.3">
      <c r="A56" s="3">
        <v>52</v>
      </c>
      <c r="B56" s="3" t="s">
        <v>207</v>
      </c>
      <c r="C56" s="3" t="s">
        <v>200</v>
      </c>
      <c r="D56" s="3">
        <v>2020</v>
      </c>
      <c r="E56" s="11">
        <v>43879</v>
      </c>
      <c r="F56" s="13" t="s">
        <v>70</v>
      </c>
      <c r="G56" s="4" t="s">
        <v>42</v>
      </c>
      <c r="H56" s="4">
        <v>99</v>
      </c>
      <c r="I56" s="4"/>
      <c r="J56" s="22" t="s">
        <v>58</v>
      </c>
      <c r="K56" s="27" t="s">
        <v>37</v>
      </c>
      <c r="L56" s="4"/>
      <c r="M56" s="4"/>
      <c r="N56" s="4"/>
      <c r="O56" s="4"/>
      <c r="P56" s="4"/>
      <c r="Q56" s="4"/>
      <c r="R56" s="4">
        <v>7.8</v>
      </c>
      <c r="S56" s="4">
        <v>3</v>
      </c>
      <c r="T56" s="4">
        <v>13.9</v>
      </c>
      <c r="U56" s="4">
        <v>20.3</v>
      </c>
      <c r="V56" s="4">
        <v>71.599999999999994</v>
      </c>
      <c r="W56" s="4">
        <v>8.1</v>
      </c>
      <c r="X56" s="4">
        <v>15.7</v>
      </c>
      <c r="Y56" s="4">
        <v>22.8</v>
      </c>
      <c r="Z56" s="28">
        <v>1.37</v>
      </c>
      <c r="AA56" s="4">
        <v>7</v>
      </c>
      <c r="AB56" s="4">
        <v>4.9000000000000004</v>
      </c>
      <c r="AC56" s="4">
        <v>5.5</v>
      </c>
      <c r="AD56" s="4"/>
      <c r="AE56" s="4">
        <v>77</v>
      </c>
      <c r="AF56" s="4"/>
      <c r="AG56" s="5">
        <v>13.126</v>
      </c>
      <c r="AH56" s="5"/>
      <c r="AI56" s="4" t="inlineStr">
        <is>
          <t>Non</t>
        </is>
      </c>
    </row>
    <row r="57" spans="1:37" x14ac:dyDescent="0.3">
      <c r="A57" s="3">
        <v>53</v>
      </c>
      <c r="B57" s="3" t="s">
        <v>207</v>
      </c>
      <c r="C57" s="3" t="s">
        <v>200</v>
      </c>
      <c r="D57" s="3">
        <v>2020</v>
      </c>
      <c r="E57" s="11">
        <v>43898</v>
      </c>
      <c r="F57" s="4" t="s">
        <v>73</v>
      </c>
      <c r="G57" s="4" t="s">
        <v>62</v>
      </c>
      <c r="H57" s="4"/>
      <c r="I57" s="4"/>
      <c r="J57" s="22" t="s">
        <v>58</v>
      </c>
      <c r="K57" s="27" t="s">
        <v>37</v>
      </c>
      <c r="L57" s="4"/>
      <c r="M57" s="4"/>
      <c r="N57" s="4"/>
      <c r="O57" s="4"/>
      <c r="P57" s="4"/>
      <c r="Q57" s="4"/>
      <c r="R57" s="4">
        <v>7.8</v>
      </c>
      <c r="S57" s="4">
        <v>3</v>
      </c>
      <c r="T57" s="4">
        <v>13.9</v>
      </c>
      <c r="U57" s="4">
        <v>20.3</v>
      </c>
      <c r="V57" s="4">
        <v>71.599999999999994</v>
      </c>
      <c r="W57" s="4">
        <v>8.1</v>
      </c>
      <c r="X57" s="4">
        <v>15.7</v>
      </c>
      <c r="Y57" s="4">
        <v>22.8</v>
      </c>
      <c r="Z57" s="28">
        <v>1.37</v>
      </c>
      <c r="AA57" s="4">
        <v>8</v>
      </c>
      <c r="AB57" s="4">
        <v>4.7</v>
      </c>
      <c r="AC57" s="4">
        <v>3</v>
      </c>
      <c r="AD57" s="4"/>
      <c r="AE57" s="4">
        <v>88</v>
      </c>
      <c r="AF57" s="4"/>
      <c r="AG57" s="5">
        <v>0.0</v>
      </c>
      <c r="AH57" s="5"/>
      <c r="AI57" s="4" t="inlineStr">
        <is>
          <t>Non</t>
        </is>
      </c>
    </row>
    <row r="58" spans="1:37" x14ac:dyDescent="0.3">
      <c r="A58" s="3">
        <v>54</v>
      </c>
      <c r="B58" s="3" t="s">
        <v>207</v>
      </c>
      <c r="C58" s="3" t="s">
        <v>200</v>
      </c>
      <c r="D58" s="3">
        <v>2020</v>
      </c>
      <c r="E58" s="11">
        <v>43899</v>
      </c>
      <c r="F58" s="4" t="s">
        <v>78</v>
      </c>
      <c r="G58" s="4" t="s">
        <v>42</v>
      </c>
      <c r="H58" s="4">
        <v>58</v>
      </c>
      <c r="I58" s="4"/>
      <c r="J58" s="22" t="s">
        <v>58</v>
      </c>
      <c r="K58" s="27" t="s">
        <v>37</v>
      </c>
      <c r="L58" s="4"/>
      <c r="M58" s="4"/>
      <c r="N58" s="4"/>
      <c r="O58" s="4"/>
      <c r="P58" s="4"/>
      <c r="Q58" s="4"/>
      <c r="R58" s="4">
        <v>7.8</v>
      </c>
      <c r="S58" s="4">
        <v>3</v>
      </c>
      <c r="T58" s="4">
        <v>13.9</v>
      </c>
      <c r="U58" s="4">
        <v>20.3</v>
      </c>
      <c r="V58" s="4">
        <v>71.599999999999994</v>
      </c>
      <c r="W58" s="4">
        <v>8.1</v>
      </c>
      <c r="X58" s="4">
        <v>15.7</v>
      </c>
      <c r="Y58" s="4">
        <v>22.8</v>
      </c>
      <c r="Z58" s="28">
        <v>1.37</v>
      </c>
      <c r="AA58" s="4">
        <v>7.4</v>
      </c>
      <c r="AB58" s="4">
        <v>4.2</v>
      </c>
      <c r="AC58" s="4">
        <v>3</v>
      </c>
      <c r="AD58" s="4"/>
      <c r="AE58" s="4">
        <v>79</v>
      </c>
      <c r="AF58" s="4"/>
      <c r="AG58" s="5">
        <v>7.69</v>
      </c>
      <c r="AH58" s="5"/>
      <c r="AI58" s="4" t="inlineStr">
        <is>
          <t>Non</t>
        </is>
      </c>
    </row>
    <row r="59" spans="1:37" x14ac:dyDescent="0.3">
      <c r="A59" s="3">
        <v>55</v>
      </c>
      <c r="B59" s="3" t="s">
        <v>207</v>
      </c>
      <c r="C59" s="3" t="s">
        <v>200</v>
      </c>
      <c r="D59" s="3">
        <v>2021</v>
      </c>
      <c r="E59" s="11">
        <v>44244</v>
      </c>
      <c r="F59" s="4" t="s">
        <v>78</v>
      </c>
      <c r="G59" s="4" t="s">
        <v>42</v>
      </c>
      <c r="H59" s="4">
        <v>34</v>
      </c>
      <c r="I59" s="4"/>
      <c r="J59" s="22" t="s">
        <v>58</v>
      </c>
      <c r="K59" s="27" t="s">
        <v>37</v>
      </c>
      <c r="L59" s="4"/>
      <c r="M59" s="4"/>
      <c r="N59" s="4"/>
      <c r="O59" s="4"/>
      <c r="P59" s="4"/>
      <c r="Q59" s="4"/>
      <c r="R59" s="4">
        <v>7.8</v>
      </c>
      <c r="S59" s="4">
        <v>3</v>
      </c>
      <c r="T59" s="4">
        <v>13.9</v>
      </c>
      <c r="U59" s="4">
        <v>20.3</v>
      </c>
      <c r="V59" s="4">
        <v>71.599999999999994</v>
      </c>
      <c r="W59" s="4">
        <v>8.1</v>
      </c>
      <c r="X59" s="4">
        <v>15.7</v>
      </c>
      <c r="Y59" s="4">
        <v>22.8</v>
      </c>
      <c r="Z59" s="28">
        <v>1.25</v>
      </c>
      <c r="AA59" s="4">
        <v>9.4</v>
      </c>
      <c r="AB59" s="4">
        <v>4</v>
      </c>
      <c r="AC59" s="4">
        <v>0</v>
      </c>
      <c r="AD59" s="4"/>
      <c r="AE59" s="4">
        <v>84</v>
      </c>
      <c r="AF59" s="4"/>
      <c r="AG59" s="5">
        <v>4.508</v>
      </c>
      <c r="AH59" s="5"/>
      <c r="AI59" s="4" t="inlineStr">
        <is>
          <t>Non</t>
        </is>
      </c>
    </row>
    <row r="60" spans="1:37" x14ac:dyDescent="0.3">
      <c r="A60" s="3">
        <v>56</v>
      </c>
      <c r="B60" s="3" t="s">
        <v>207</v>
      </c>
      <c r="C60" s="3" t="s">
        <v>200</v>
      </c>
      <c r="D60" s="3">
        <v>2021</v>
      </c>
      <c r="E60" s="11">
        <v>44265</v>
      </c>
      <c r="F60" s="4" t="s">
        <v>80</v>
      </c>
      <c r="G60" s="4" t="s">
        <v>42</v>
      </c>
      <c r="H60" s="4">
        <v>94</v>
      </c>
      <c r="I60" s="4"/>
      <c r="J60" s="22" t="s">
        <v>58</v>
      </c>
      <c r="K60" s="27" t="s">
        <v>37</v>
      </c>
      <c r="L60" s="4"/>
      <c r="M60" s="4"/>
      <c r="N60" s="4"/>
      <c r="O60" s="4"/>
      <c r="P60" s="4"/>
      <c r="Q60" s="4"/>
      <c r="R60" s="4">
        <v>7.8</v>
      </c>
      <c r="S60" s="4">
        <v>3</v>
      </c>
      <c r="T60" s="4">
        <v>13.9</v>
      </c>
      <c r="U60" s="4">
        <v>20.3</v>
      </c>
      <c r="V60" s="4">
        <v>71.599999999999994</v>
      </c>
      <c r="W60" s="4">
        <v>8.1</v>
      </c>
      <c r="X60" s="4">
        <v>15.7</v>
      </c>
      <c r="Y60" s="4">
        <v>22.8</v>
      </c>
      <c r="Z60" s="28">
        <v>1.25</v>
      </c>
      <c r="AA60" s="4">
        <v>5.9</v>
      </c>
      <c r="AB60" s="4">
        <v>4.5999999999999996</v>
      </c>
      <c r="AC60" s="4">
        <v>1</v>
      </c>
      <c r="AD60" s="4"/>
      <c r="AE60" s="4">
        <v>78</v>
      </c>
      <c r="AF60" s="4"/>
      <c r="AG60" s="5">
        <v>12.463</v>
      </c>
      <c r="AH60" s="5"/>
      <c r="AI60" s="4" t="inlineStr">
        <is>
          <t>Non</t>
        </is>
      </c>
    </row>
    <row r="61" spans="1:37" x14ac:dyDescent="0.3">
      <c r="A61" s="3">
        <v>57</v>
      </c>
      <c r="B61" s="3" t="s">
        <v>207</v>
      </c>
      <c r="C61" s="3" t="s">
        <v>200</v>
      </c>
      <c r="D61" s="3">
        <v>2021</v>
      </c>
      <c r="E61" s="11">
        <v>44322</v>
      </c>
      <c r="F61" s="4" t="s">
        <v>59</v>
      </c>
      <c r="G61" s="4" t="s">
        <v>42</v>
      </c>
      <c r="H61" s="4">
        <v>58.5</v>
      </c>
      <c r="I61" s="4"/>
      <c r="J61" s="22" t="s">
        <v>58</v>
      </c>
      <c r="K61" s="27" t="s">
        <v>37</v>
      </c>
      <c r="L61" s="4"/>
      <c r="M61" s="4"/>
      <c r="N61" s="4"/>
      <c r="O61" s="4"/>
      <c r="P61" s="4"/>
      <c r="Q61" s="4"/>
      <c r="R61" s="4">
        <v>7.8</v>
      </c>
      <c r="S61" s="4">
        <v>3</v>
      </c>
      <c r="T61" s="4">
        <v>13.9</v>
      </c>
      <c r="U61" s="4">
        <v>20.3</v>
      </c>
      <c r="V61" s="4">
        <v>71.599999999999994</v>
      </c>
      <c r="W61" s="4">
        <v>8.1</v>
      </c>
      <c r="X61" s="4">
        <v>15.7</v>
      </c>
      <c r="Y61" s="4">
        <v>22.8</v>
      </c>
      <c r="Z61" s="28">
        <v>1.25</v>
      </c>
      <c r="AA61" s="4">
        <v>7.5</v>
      </c>
      <c r="AB61" s="4">
        <v>1.8</v>
      </c>
      <c r="AC61" s="4">
        <v>6.5</v>
      </c>
      <c r="AD61" s="4"/>
      <c r="AE61" s="4">
        <v>89</v>
      </c>
      <c r="AF61" s="4"/>
      <c r="AG61" s="5">
        <v>7.756</v>
      </c>
      <c r="AH61" s="5"/>
      <c r="AI61" s="4" t="inlineStr">
        <is>
          <t>Non</t>
        </is>
      </c>
    </row>
    <row r="62" spans="1:37" x14ac:dyDescent="0.3">
      <c r="A62" s="3">
        <v>58</v>
      </c>
      <c r="B62" s="3" t="s">
        <v>207</v>
      </c>
      <c r="C62" s="3" t="s">
        <v>200</v>
      </c>
      <c r="D62" s="3">
        <v>2022</v>
      </c>
      <c r="E62" s="11">
        <v>44672</v>
      </c>
      <c r="F62" s="4" t="s">
        <v>59</v>
      </c>
      <c r="G62" s="4" t="s">
        <v>42</v>
      </c>
      <c r="H62" s="4">
        <v>62</v>
      </c>
      <c r="I62" s="4"/>
      <c r="J62" s="22" t="s">
        <v>58</v>
      </c>
      <c r="K62" s="27" t="s">
        <v>37</v>
      </c>
      <c r="L62" s="4"/>
      <c r="M62" s="4"/>
      <c r="N62" s="4"/>
      <c r="O62" s="4"/>
      <c r="P62" s="4"/>
      <c r="Q62" s="4"/>
      <c r="R62" s="4">
        <v>7.8</v>
      </c>
      <c r="S62" s="4">
        <v>3</v>
      </c>
      <c r="T62" s="4">
        <v>13.9</v>
      </c>
      <c r="U62" s="4">
        <v>20.3</v>
      </c>
      <c r="V62" s="4">
        <v>71.599999999999994</v>
      </c>
      <c r="W62" s="4">
        <v>8.1</v>
      </c>
      <c r="X62" s="4">
        <v>15.7</v>
      </c>
      <c r="Y62" s="4">
        <v>22.8</v>
      </c>
      <c r="Z62" s="28">
        <v>1.25</v>
      </c>
      <c r="AA62" s="4">
        <v>12.7</v>
      </c>
      <c r="AB62" s="4">
        <v>2.2999999999999998</v>
      </c>
      <c r="AC62" s="4">
        <v>0</v>
      </c>
      <c r="AD62" s="4"/>
      <c r="AE62" s="4">
        <v>57</v>
      </c>
      <c r="AF62" s="4"/>
      <c r="AG62" s="5">
        <v>8.22</v>
      </c>
      <c r="AH62" s="5"/>
      <c r="AI62" s="4" t="inlineStr">
        <is>
          <t>Non</t>
        </is>
      </c>
    </row>
    <row r="63" spans="1:37" x14ac:dyDescent="0.3">
      <c r="A63" s="3">
        <v>59</v>
      </c>
      <c r="B63" s="3" t="s">
        <v>207</v>
      </c>
      <c r="C63" s="3" t="s">
        <v>200</v>
      </c>
      <c r="D63" s="3">
        <v>2022</v>
      </c>
      <c r="E63" s="11">
        <v>44700</v>
      </c>
      <c r="F63" s="4" t="s">
        <v>48</v>
      </c>
      <c r="G63" s="4" t="s">
        <v>48</v>
      </c>
      <c r="H63" s="4">
        <v>40</v>
      </c>
      <c r="I63" s="4"/>
      <c r="J63" s="22" t="s">
        <v>55</v>
      </c>
      <c r="K63" s="27" t="s">
        <v>37</v>
      </c>
      <c r="L63" s="4"/>
      <c r="M63" s="4"/>
      <c r="N63" s="4"/>
      <c r="O63" s="4"/>
      <c r="P63" s="4"/>
      <c r="Q63" s="4"/>
      <c r="R63" s="4">
        <v>7.8</v>
      </c>
      <c r="S63" s="4">
        <v>3</v>
      </c>
      <c r="T63" s="4">
        <v>13.9</v>
      </c>
      <c r="U63" s="4">
        <v>20.3</v>
      </c>
      <c r="V63" s="4">
        <v>71.599999999999994</v>
      </c>
      <c r="W63" s="4">
        <v>8.1</v>
      </c>
      <c r="X63" s="4">
        <v>15.7</v>
      </c>
      <c r="Y63" s="4">
        <v>22.8</v>
      </c>
      <c r="Z63" s="28">
        <v>1.25</v>
      </c>
      <c r="AA63" s="4">
        <v>20.100000000000001</v>
      </c>
      <c r="AB63" s="4">
        <v>2.2999999999999998</v>
      </c>
      <c r="AC63" s="4">
        <v>0.5</v>
      </c>
      <c r="AD63" s="4"/>
      <c r="AE63" s="4">
        <v>71</v>
      </c>
      <c r="AF63" s="4"/>
      <c r="AG63" s="5">
        <v>6.786</v>
      </c>
      <c r="AH63" s="5"/>
      <c r="AI63" s="4" t="inlineStr">
        <is>
          <t>Non</t>
        </is>
      </c>
    </row>
    <row r="64" spans="1:37" x14ac:dyDescent="0.3">
      <c r="A64" s="3">
        <v>60</v>
      </c>
      <c r="B64" s="3" t="s">
        <v>207</v>
      </c>
      <c r="C64" s="3" t="s">
        <v>200</v>
      </c>
      <c r="D64" s="3">
        <v>2023</v>
      </c>
      <c r="E64" s="11">
        <v>44970</v>
      </c>
      <c r="F64" s="4" t="s">
        <v>59</v>
      </c>
      <c r="G64" s="4" t="s">
        <v>42</v>
      </c>
      <c r="H64" s="4">
        <v>43</v>
      </c>
      <c r="I64" s="4"/>
      <c r="J64" s="22" t="s">
        <v>58</v>
      </c>
      <c r="K64" s="27" t="s">
        <v>37</v>
      </c>
      <c r="L64" s="4"/>
      <c r="M64" s="4"/>
      <c r="N64" s="4"/>
      <c r="O64" s="4"/>
      <c r="P64" s="4"/>
      <c r="Q64" s="4"/>
      <c r="R64" s="4">
        <v>7.8</v>
      </c>
      <c r="S64" s="4">
        <v>3</v>
      </c>
      <c r="T64" s="4">
        <v>13.9</v>
      </c>
      <c r="U64" s="4">
        <v>20.3</v>
      </c>
      <c r="V64" s="4">
        <v>71.599999999999994</v>
      </c>
      <c r="W64" s="4">
        <v>8.1</v>
      </c>
      <c r="X64" s="4">
        <v>15.7</v>
      </c>
      <c r="Y64" s="4">
        <v>22.8</v>
      </c>
      <c r="Z64" s="28">
        <v>1.25</v>
      </c>
      <c r="AA64" s="4">
        <v>5.6</v>
      </c>
      <c r="AB64" s="4">
        <v>1.1000000000000001</v>
      </c>
      <c r="AC64" s="4">
        <v>0.5</v>
      </c>
      <c r="AD64" s="4"/>
      <c r="AE64" s="4">
        <v>84</v>
      </c>
      <c r="AF64" s="4"/>
      <c r="AG64" s="5">
        <v>5.701</v>
      </c>
      <c r="AH64" s="5"/>
      <c r="AI64" s="4" t="inlineStr">
        <is>
          <t>Non</t>
        </is>
      </c>
    </row>
    <row r="65" spans="1:37" x14ac:dyDescent="0.3">
      <c r="A65" s="3">
        <v>61</v>
      </c>
      <c r="B65" s="3" t="s">
        <v>207</v>
      </c>
      <c r="C65" s="3" t="s">
        <v>200</v>
      </c>
      <c r="D65" s="3">
        <v>2023</v>
      </c>
      <c r="E65" s="11">
        <v>44970</v>
      </c>
      <c r="F65" s="4" t="s">
        <v>72</v>
      </c>
      <c r="G65" s="4" t="s">
        <v>54</v>
      </c>
      <c r="H65" s="4">
        <v>6.5</v>
      </c>
      <c r="I65" s="4"/>
      <c r="J65" s="22" t="s">
        <v>58</v>
      </c>
      <c r="K65" s="27" t="s">
        <v>37</v>
      </c>
      <c r="L65" s="4"/>
      <c r="M65" s="4"/>
      <c r="N65" s="4"/>
      <c r="O65" s="4"/>
      <c r="P65" s="4"/>
      <c r="Q65" s="4"/>
      <c r="R65" s="4">
        <v>7.8</v>
      </c>
      <c r="S65" s="4">
        <v>3</v>
      </c>
      <c r="T65" s="4">
        <v>13.9</v>
      </c>
      <c r="U65" s="4">
        <v>20.3</v>
      </c>
      <c r="V65" s="4">
        <v>71.599999999999994</v>
      </c>
      <c r="W65" s="4">
        <v>8.1</v>
      </c>
      <c r="X65" s="4">
        <v>15.7</v>
      </c>
      <c r="Y65" s="4">
        <v>22.8</v>
      </c>
      <c r="Z65" s="28">
        <v>1.25</v>
      </c>
      <c r="AA65" s="4">
        <v>5.6</v>
      </c>
      <c r="AB65" s="4">
        <v>1.1000000000000001</v>
      </c>
      <c r="AC65" s="4">
        <v>0.5</v>
      </c>
      <c r="AD65" s="4"/>
      <c r="AE65" s="4">
        <v>84</v>
      </c>
      <c r="AF65" s="4"/>
      <c r="AG65" s="5">
        <v>1.001</v>
      </c>
      <c r="AH65" s="5"/>
      <c r="AI65" s="4" t="inlineStr">
        <is>
          <t>Non</t>
        </is>
      </c>
    </row>
    <row r="66" spans="1:37" x14ac:dyDescent="0.3">
      <c r="A66" s="3">
        <v>62</v>
      </c>
      <c r="B66" s="3" t="s">
        <v>207</v>
      </c>
      <c r="C66" s="3" t="s">
        <v>200</v>
      </c>
      <c r="D66" s="3">
        <v>2023</v>
      </c>
      <c r="E66" s="11">
        <v>44992</v>
      </c>
      <c r="F66" s="4" t="s">
        <v>59</v>
      </c>
      <c r="G66" s="4" t="s">
        <v>42</v>
      </c>
      <c r="H66" s="4">
        <v>60</v>
      </c>
      <c r="I66" s="4"/>
      <c r="J66" s="22" t="s">
        <v>58</v>
      </c>
      <c r="K66" s="27" t="s">
        <v>37</v>
      </c>
      <c r="L66" s="4"/>
      <c r="M66" s="4"/>
      <c r="N66" s="4"/>
      <c r="O66" s="4"/>
      <c r="P66" s="4"/>
      <c r="Q66" s="4"/>
      <c r="R66" s="4">
        <v>7.8</v>
      </c>
      <c r="S66" s="4">
        <v>3</v>
      </c>
      <c r="T66" s="4">
        <v>13.9</v>
      </c>
      <c r="U66" s="4">
        <v>20.3</v>
      </c>
      <c r="V66" s="4">
        <v>71.599999999999994</v>
      </c>
      <c r="W66" s="4">
        <v>8.1</v>
      </c>
      <c r="X66" s="4">
        <v>15.7</v>
      </c>
      <c r="Y66" s="4">
        <v>22.8</v>
      </c>
      <c r="Z66" s="28">
        <v>1.25</v>
      </c>
      <c r="AA66" s="4">
        <v>5.9</v>
      </c>
      <c r="AB66" s="4">
        <v>3.9</v>
      </c>
      <c r="AC66" s="4">
        <v>8</v>
      </c>
      <c r="AD66" s="4"/>
      <c r="AE66" s="4">
        <v>71</v>
      </c>
      <c r="AF66" s="4"/>
      <c r="AG66" s="5">
        <v>7.955</v>
      </c>
      <c r="AH66" s="5"/>
      <c r="AI66" s="4" t="inlineStr">
        <is>
          <t>Oui</t>
        </is>
      </c>
      <c r="AJ66" s="4" t="inlineStr">
        <is>
          <t>à déterminer (uréase/nitrification)</t>
        </is>
      </c>
    </row>
    <row r="67" spans="1:37" x14ac:dyDescent="0.3">
      <c r="A67" s="3">
        <v>63</v>
      </c>
      <c r="B67" s="3" t="s">
        <v>207</v>
      </c>
      <c r="C67" s="3" t="s">
        <v>200</v>
      </c>
      <c r="D67" s="3">
        <v>2023</v>
      </c>
      <c r="E67" s="11">
        <v>44992</v>
      </c>
      <c r="F67" s="4" t="s">
        <v>76</v>
      </c>
      <c r="G67" s="4" t="inlineStr">
        <is>
          <t>Additif</t>
        </is>
      </c>
      <c r="H67" s="4">
        <v>0</v>
      </c>
      <c r="I67" s="4">
        <v>0</v>
      </c>
      <c r="J67" s="22" t="s">
        <v>58</v>
      </c>
      <c r="K67" s="27" t="s">
        <v>37</v>
      </c>
      <c r="L67" s="4"/>
      <c r="M67" s="4"/>
      <c r="N67" s="4"/>
      <c r="O67" s="4"/>
      <c r="P67" s="4"/>
      <c r="Q67" s="4"/>
      <c r="R67" s="4">
        <v>7.8</v>
      </c>
      <c r="S67" s="4">
        <v>3</v>
      </c>
      <c r="T67" s="4">
        <v>13.9</v>
      </c>
      <c r="U67" s="4">
        <v>20.3</v>
      </c>
      <c r="V67" s="4">
        <v>71.599999999999994</v>
      </c>
      <c r="W67" s="4">
        <v>8.1</v>
      </c>
      <c r="X67" s="4">
        <v>15.7</v>
      </c>
      <c r="Y67" s="4">
        <v>22.8</v>
      </c>
      <c r="Z67" s="28">
        <v>1.25</v>
      </c>
      <c r="AA67" s="4">
        <v>5.9</v>
      </c>
      <c r="AB67" s="4">
        <v>3.9</v>
      </c>
      <c r="AC67" s="4">
        <v>8</v>
      </c>
      <c r="AD67" s="4"/>
      <c r="AE67" s="4">
        <v>71</v>
      </c>
      <c r="AF67" s="4"/>
      <c r="AG67" s="5">
        <v>0.0</v>
      </c>
      <c r="AH67" s="5"/>
      <c r="AI67" s="4" t="inlineStr">
        <is>
          <t>Non</t>
        </is>
      </c>
      <c r="AK67" s="4" t="inlineStr">
        <is>
          <t>Inhibiteur (sans N) — non-émetteur, exclure du calcul EMEP</t>
        </is>
      </c>
    </row>
    <row r="68" spans="1:37" x14ac:dyDescent="0.3">
      <c r="A68" s="3">
        <v>64</v>
      </c>
      <c r="B68" s="3" t="s">
        <v>207</v>
      </c>
      <c r="C68" s="3" t="s">
        <v>200</v>
      </c>
      <c r="D68" s="3">
        <v>2023</v>
      </c>
      <c r="E68" s="11">
        <v>45038</v>
      </c>
      <c r="F68" s="4" t="s">
        <v>59</v>
      </c>
      <c r="G68" s="4" t="s">
        <v>42</v>
      </c>
      <c r="H68" s="4">
        <v>49</v>
      </c>
      <c r="I68" s="4"/>
      <c r="J68" s="22" t="s">
        <v>58</v>
      </c>
      <c r="K68" s="27" t="s">
        <v>37</v>
      </c>
      <c r="L68" s="4"/>
      <c r="M68" s="4"/>
      <c r="N68" s="4"/>
      <c r="O68" s="4"/>
      <c r="P68" s="4"/>
      <c r="Q68" s="4"/>
      <c r="R68" s="4">
        <v>7.8</v>
      </c>
      <c r="S68" s="4">
        <v>3</v>
      </c>
      <c r="T68" s="4">
        <v>13.9</v>
      </c>
      <c r="U68" s="4">
        <v>20.3</v>
      </c>
      <c r="V68" s="4">
        <v>71.599999999999994</v>
      </c>
      <c r="W68" s="4">
        <v>8.1</v>
      </c>
      <c r="X68" s="4">
        <v>15.7</v>
      </c>
      <c r="Y68" s="4">
        <v>22.8</v>
      </c>
      <c r="Z68" s="28">
        <v>1.25</v>
      </c>
      <c r="AA68" s="4">
        <v>10.5</v>
      </c>
      <c r="AB68" s="4">
        <v>2.2000000000000002</v>
      </c>
      <c r="AC68" s="4">
        <v>4</v>
      </c>
      <c r="AD68" s="4"/>
      <c r="AE68" s="4">
        <v>78</v>
      </c>
      <c r="AF68" s="4"/>
      <c r="AG68" s="5">
        <v>6.497</v>
      </c>
      <c r="AH68" s="5"/>
      <c r="AI68" s="4" t="inlineStr">
        <is>
          <t>Non</t>
        </is>
      </c>
    </row>
    <row r="69" spans="1:37" x14ac:dyDescent="0.3">
      <c r="A69" s="3">
        <v>65</v>
      </c>
      <c r="B69" s="3" t="s">
        <v>207</v>
      </c>
      <c r="C69" s="3" t="s">
        <v>200</v>
      </c>
      <c r="D69" s="3">
        <v>2023</v>
      </c>
      <c r="E69" s="11">
        <v>45054</v>
      </c>
      <c r="F69" s="4" t="s">
        <v>59</v>
      </c>
      <c r="G69" s="4" t="s">
        <v>42</v>
      </c>
      <c r="H69" s="4">
        <v>29</v>
      </c>
      <c r="I69" s="4"/>
      <c r="J69" s="22" t="s">
        <v>58</v>
      </c>
      <c r="K69" s="27" t="s">
        <v>37</v>
      </c>
      <c r="L69" s="4"/>
      <c r="M69" s="4"/>
      <c r="N69" s="4"/>
      <c r="O69" s="4"/>
      <c r="P69" s="4"/>
      <c r="Q69" s="4"/>
      <c r="R69" s="4">
        <v>7.8</v>
      </c>
      <c r="S69" s="4">
        <v>3</v>
      </c>
      <c r="T69" s="4">
        <v>13.9</v>
      </c>
      <c r="U69" s="4">
        <v>20.3</v>
      </c>
      <c r="V69" s="4">
        <v>71.599999999999994</v>
      </c>
      <c r="W69" s="4">
        <v>8.1</v>
      </c>
      <c r="X69" s="4">
        <v>15.7</v>
      </c>
      <c r="Y69" s="4">
        <v>22.8</v>
      </c>
      <c r="Z69" s="28">
        <v>1.25</v>
      </c>
      <c r="AA69" s="4">
        <v>14.5</v>
      </c>
      <c r="AB69" s="4">
        <v>0.9</v>
      </c>
      <c r="AC69" s="4">
        <v>2</v>
      </c>
      <c r="AD69" s="4"/>
      <c r="AE69" s="4">
        <v>84</v>
      </c>
      <c r="AF69" s="4"/>
      <c r="AG69" s="5">
        <v>3.845</v>
      </c>
      <c r="AH69" s="5"/>
      <c r="AI69" s="4" t="inlineStr">
        <is>
          <t>Non</t>
        </is>
      </c>
    </row>
    <row r="70" spans="1:37" x14ac:dyDescent="0.3">
      <c r="A70" s="3">
        <v>66</v>
      </c>
      <c r="B70" s="3" t="s">
        <v>207</v>
      </c>
      <c r="C70" s="3" t="s">
        <v>200</v>
      </c>
      <c r="D70" s="3">
        <v>2024</v>
      </c>
      <c r="E70" s="11">
        <v>45343</v>
      </c>
      <c r="F70" s="4" t="s">
        <v>59</v>
      </c>
      <c r="G70" s="4" t="s">
        <v>42</v>
      </c>
      <c r="H70" s="4">
        <v>39</v>
      </c>
      <c r="I70" s="4"/>
      <c r="J70" s="22" t="s">
        <v>58</v>
      </c>
      <c r="K70" s="27" t="s">
        <v>37</v>
      </c>
      <c r="L70" s="4"/>
      <c r="M70" s="4"/>
      <c r="N70" s="4"/>
      <c r="O70" s="4"/>
      <c r="P70" s="4"/>
      <c r="Q70" s="4"/>
      <c r="R70" s="4">
        <v>7.8</v>
      </c>
      <c r="S70" s="4">
        <v>3</v>
      </c>
      <c r="T70" s="4">
        <v>13.9</v>
      </c>
      <c r="U70" s="4">
        <v>20.3</v>
      </c>
      <c r="V70" s="4">
        <v>71.599999999999994</v>
      </c>
      <c r="W70" s="4">
        <v>8.1</v>
      </c>
      <c r="X70" s="4">
        <v>15.7</v>
      </c>
      <c r="Y70" s="4">
        <v>22.8</v>
      </c>
      <c r="Z70" s="28">
        <v>1.25</v>
      </c>
      <c r="AA70" s="4">
        <v>8.8000000000000007</v>
      </c>
      <c r="AB70" s="4">
        <v>4.7</v>
      </c>
      <c r="AC70" s="4">
        <v>11</v>
      </c>
      <c r="AD70" s="4"/>
      <c r="AE70" s="4">
        <v>90</v>
      </c>
      <c r="AF70" s="4"/>
      <c r="AG70" s="5">
        <v>5.171</v>
      </c>
      <c r="AH70" s="5"/>
      <c r="AI70" s="4" t="inlineStr">
        <is>
          <t>Non</t>
        </is>
      </c>
    </row>
    <row r="71" spans="1:37" x14ac:dyDescent="0.3">
      <c r="A71" s="3">
        <v>67</v>
      </c>
      <c r="B71" s="3" t="s">
        <v>207</v>
      </c>
      <c r="C71" s="3" t="s">
        <v>200</v>
      </c>
      <c r="D71" s="3">
        <v>2024</v>
      </c>
      <c r="E71" s="11">
        <v>45358</v>
      </c>
      <c r="F71" s="4" t="s">
        <v>59</v>
      </c>
      <c r="G71" s="4" t="s">
        <v>42</v>
      </c>
      <c r="H71" s="4">
        <v>39</v>
      </c>
      <c r="I71" s="4"/>
      <c r="J71" s="22" t="s">
        <v>58</v>
      </c>
      <c r="K71" s="27" t="s">
        <v>37</v>
      </c>
      <c r="L71" s="4"/>
      <c r="M71" s="4"/>
      <c r="N71" s="4"/>
      <c r="O71" s="4"/>
      <c r="P71" s="4"/>
      <c r="Q71" s="4"/>
      <c r="R71" s="4">
        <v>7.8</v>
      </c>
      <c r="S71" s="4">
        <v>3</v>
      </c>
      <c r="T71" s="4">
        <v>13.9</v>
      </c>
      <c r="U71" s="4">
        <v>20.3</v>
      </c>
      <c r="V71" s="4">
        <v>71.599999999999994</v>
      </c>
      <c r="W71" s="4">
        <v>8.1</v>
      </c>
      <c r="X71" s="4">
        <v>15.7</v>
      </c>
      <c r="Y71" s="4">
        <v>22.8</v>
      </c>
      <c r="Z71" s="28">
        <v>1.25</v>
      </c>
      <c r="AA71" s="4">
        <v>6.8</v>
      </c>
      <c r="AB71" s="4">
        <v>2.6</v>
      </c>
      <c r="AC71" s="4">
        <v>0</v>
      </c>
      <c r="AD71" s="4"/>
      <c r="AE71" s="4">
        <v>80</v>
      </c>
      <c r="AF71" s="4"/>
      <c r="AG71" s="5">
        <v>5.171</v>
      </c>
      <c r="AH71" s="5"/>
      <c r="AI71" s="4" t="inlineStr">
        <is>
          <t>Non</t>
        </is>
      </c>
    </row>
    <row r="72" spans="1:37" x14ac:dyDescent="0.3">
      <c r="A72" s="3">
        <v>68</v>
      </c>
      <c r="B72" s="3" t="s">
        <v>207</v>
      </c>
      <c r="C72" s="3" t="s">
        <v>200</v>
      </c>
      <c r="D72" s="3">
        <v>2024</v>
      </c>
      <c r="E72" s="11">
        <v>45376</v>
      </c>
      <c r="F72" s="4" t="s">
        <v>59</v>
      </c>
      <c r="G72" s="4" t="s">
        <v>42</v>
      </c>
      <c r="H72" s="4">
        <v>43</v>
      </c>
      <c r="I72" s="4"/>
      <c r="J72" s="22" t="s">
        <v>58</v>
      </c>
      <c r="K72" s="27" t="s">
        <v>37</v>
      </c>
      <c r="L72" s="4"/>
      <c r="M72" s="4"/>
      <c r="N72" s="4"/>
      <c r="O72" s="4"/>
      <c r="P72" s="4"/>
      <c r="Q72" s="4"/>
      <c r="R72" s="4">
        <v>7.8</v>
      </c>
      <c r="S72" s="4">
        <v>3</v>
      </c>
      <c r="T72" s="4">
        <v>13.9</v>
      </c>
      <c r="U72" s="4">
        <v>20.3</v>
      </c>
      <c r="V72" s="4">
        <v>71.599999999999994</v>
      </c>
      <c r="W72" s="4">
        <v>8.1</v>
      </c>
      <c r="X72" s="4">
        <v>15.7</v>
      </c>
      <c r="Y72" s="4">
        <v>22.8</v>
      </c>
      <c r="Z72" s="28">
        <v>1.25</v>
      </c>
      <c r="AA72" s="4">
        <v>7.6</v>
      </c>
      <c r="AB72" s="4">
        <v>2.7</v>
      </c>
      <c r="AC72" s="4">
        <v>0.5</v>
      </c>
      <c r="AD72" s="4"/>
      <c r="AE72" s="4">
        <v>71</v>
      </c>
      <c r="AF72" s="4"/>
      <c r="AG72" s="5">
        <v>5.701</v>
      </c>
      <c r="AH72" s="5"/>
      <c r="AI72" s="4" t="inlineStr">
        <is>
          <t>Non</t>
        </is>
      </c>
    </row>
    <row r="73" spans="1:37" x14ac:dyDescent="0.3">
      <c r="A73" s="3">
        <v>69</v>
      </c>
      <c r="B73" s="3" t="s">
        <v>207</v>
      </c>
      <c r="C73" s="3" t="s">
        <v>200</v>
      </c>
      <c r="D73" s="3">
        <v>2024</v>
      </c>
      <c r="E73" s="11">
        <v>45393</v>
      </c>
      <c r="F73" s="4" t="s">
        <v>77</v>
      </c>
      <c r="G73" s="4" t="s">
        <v>60</v>
      </c>
      <c r="H73" s="4"/>
      <c r="I73" s="4"/>
      <c r="J73" s="4"/>
      <c r="K73" s="27" t="s">
        <v>37</v>
      </c>
      <c r="L73" s="4"/>
      <c r="M73" s="4"/>
      <c r="N73" s="4"/>
      <c r="O73" s="4"/>
      <c r="P73" s="4"/>
      <c r="Q73" s="4"/>
      <c r="R73" s="4">
        <v>7.8</v>
      </c>
      <c r="S73" s="4">
        <v>3</v>
      </c>
      <c r="T73" s="4">
        <v>13.9</v>
      </c>
      <c r="U73" s="4">
        <v>20.3</v>
      </c>
      <c r="V73" s="4">
        <v>71.599999999999994</v>
      </c>
      <c r="W73" s="4">
        <v>8.1</v>
      </c>
      <c r="X73" s="4">
        <v>15.7</v>
      </c>
      <c r="Y73" s="4">
        <v>22.8</v>
      </c>
      <c r="Z73" s="28">
        <v>1.25</v>
      </c>
      <c r="AA73" s="4">
        <v>14.2</v>
      </c>
      <c r="AB73" s="4">
        <v>1.5</v>
      </c>
      <c r="AC73" s="4">
        <v>0</v>
      </c>
      <c r="AD73" s="4"/>
      <c r="AE73" s="4">
        <v>81</v>
      </c>
      <c r="AF73" s="4"/>
      <c r="AG73" s="5">
        <v>0.0</v>
      </c>
      <c r="AH73" s="5"/>
      <c r="AI73" s="4" t="inlineStr">
        <is>
          <t>Non</t>
        </is>
      </c>
    </row>
    <row r="74" spans="1:37" x14ac:dyDescent="0.3">
      <c r="A74" s="3">
        <v>70</v>
      </c>
      <c r="B74" s="3" t="s">
        <v>207</v>
      </c>
      <c r="C74" s="3" t="s">
        <v>200</v>
      </c>
      <c r="D74" s="3">
        <v>2024</v>
      </c>
      <c r="E74" s="11">
        <v>45415</v>
      </c>
      <c r="F74" s="4" t="s">
        <v>77</v>
      </c>
      <c r="G74" s="4" t="s">
        <v>60</v>
      </c>
      <c r="H74" s="4"/>
      <c r="I74" s="4"/>
      <c r="J74" s="4"/>
      <c r="K74" s="27" t="s">
        <v>37</v>
      </c>
      <c r="L74" s="4"/>
      <c r="M74" s="4"/>
      <c r="N74" s="4"/>
      <c r="O74" s="4"/>
      <c r="P74" s="4"/>
      <c r="Q74" s="4"/>
      <c r="R74" s="4">
        <v>7.8</v>
      </c>
      <c r="S74" s="4">
        <v>3</v>
      </c>
      <c r="T74" s="4">
        <v>13.9</v>
      </c>
      <c r="U74" s="4">
        <v>20.3</v>
      </c>
      <c r="V74" s="4">
        <v>71.599999999999994</v>
      </c>
      <c r="W74" s="4">
        <v>8.1</v>
      </c>
      <c r="X74" s="4">
        <v>15.7</v>
      </c>
      <c r="Y74" s="4">
        <v>22.8</v>
      </c>
      <c r="Z74" s="28">
        <v>1.25</v>
      </c>
      <c r="AA74" s="4">
        <v>11.2</v>
      </c>
      <c r="AB74" s="4">
        <v>2.6</v>
      </c>
      <c r="AC74" s="4">
        <v>0.5</v>
      </c>
      <c r="AD74" s="4"/>
      <c r="AE74" s="4">
        <v>77</v>
      </c>
      <c r="AF74" s="4"/>
      <c r="AG74" s="5">
        <v>0.0</v>
      </c>
      <c r="AH74" s="5"/>
      <c r="AI74" s="4" t="inlineStr">
        <is>
          <t>Non</t>
        </is>
      </c>
    </row>
    <row r="75" spans="1:37" x14ac:dyDescent="0.3">
      <c r="A75" s="3">
        <v>71</v>
      </c>
      <c r="B75" s="3" t="s">
        <v>207</v>
      </c>
      <c r="C75" s="3" t="s">
        <v>200</v>
      </c>
      <c r="D75" s="3">
        <v>2025</v>
      </c>
      <c r="E75" s="11">
        <v>45713</v>
      </c>
      <c r="F75" s="4" t="s">
        <v>61</v>
      </c>
      <c r="G75" s="4" t="s">
        <v>42</v>
      </c>
      <c r="H75" s="13">
        <v>90</v>
      </c>
      <c r="I75" s="4"/>
      <c r="J75" s="23" t="s">
        <v>58</v>
      </c>
      <c r="K75" s="27" t="s">
        <v>37</v>
      </c>
      <c r="L75" s="4"/>
      <c r="M75" s="4"/>
      <c r="N75" s="4"/>
      <c r="O75" s="4"/>
      <c r="P75" s="4"/>
      <c r="Q75" s="4"/>
      <c r="R75" s="4">
        <v>7.8</v>
      </c>
      <c r="S75" s="4">
        <v>3</v>
      </c>
      <c r="T75" s="4">
        <v>13.9</v>
      </c>
      <c r="U75" s="4">
        <v>20.3</v>
      </c>
      <c r="V75" s="4">
        <v>71.599999999999994</v>
      </c>
      <c r="W75" s="4">
        <v>8.1</v>
      </c>
      <c r="X75" s="4">
        <v>15.7</v>
      </c>
      <c r="Y75" s="4">
        <v>22.8</v>
      </c>
      <c r="Z75" s="28">
        <v>1.25</v>
      </c>
      <c r="AA75" s="4">
        <v>7.7</v>
      </c>
      <c r="AB75" s="4">
        <v>3.4</v>
      </c>
      <c r="AC75" s="4">
        <v>12.5</v>
      </c>
      <c r="AD75" s="4"/>
      <c r="AE75" s="4">
        <v>91</v>
      </c>
      <c r="AF75" s="4"/>
      <c r="AG75" s="5">
        <v>11.933</v>
      </c>
      <c r="AH75" s="5"/>
      <c r="AI75" s="4" t="inlineStr">
        <is>
          <t>Non</t>
        </is>
      </c>
    </row>
    <row r="76" spans="1:37" x14ac:dyDescent="0.3">
      <c r="A76" s="3">
        <v>72</v>
      </c>
      <c r="B76" s="3" t="s">
        <v>207</v>
      </c>
      <c r="C76" s="3" t="s">
        <v>200</v>
      </c>
      <c r="D76" s="3">
        <v>2025</v>
      </c>
      <c r="E76" s="11">
        <v>45713</v>
      </c>
      <c r="F76" s="4" t="s">
        <v>59</v>
      </c>
      <c r="G76" s="4" t="s">
        <v>42</v>
      </c>
      <c r="H76" s="4">
        <v>105</v>
      </c>
      <c r="I76" s="4"/>
      <c r="J76" s="23" t="s">
        <v>58</v>
      </c>
      <c r="K76" s="27" t="s">
        <v>37</v>
      </c>
      <c r="L76" s="4"/>
      <c r="M76" s="4"/>
      <c r="N76" s="4"/>
      <c r="O76" s="4"/>
      <c r="P76" s="4"/>
      <c r="Q76" s="4"/>
      <c r="R76" s="4">
        <v>7.8</v>
      </c>
      <c r="S76" s="4">
        <v>3</v>
      </c>
      <c r="T76" s="4">
        <v>13.9</v>
      </c>
      <c r="U76" s="4">
        <v>20.3</v>
      </c>
      <c r="V76" s="4">
        <v>71.599999999999994</v>
      </c>
      <c r="W76" s="4">
        <v>8.1</v>
      </c>
      <c r="X76" s="4">
        <v>15.7</v>
      </c>
      <c r="Y76" s="4">
        <v>22.8</v>
      </c>
      <c r="Z76" s="28">
        <v>1.25</v>
      </c>
      <c r="AA76" s="4">
        <v>7.7</v>
      </c>
      <c r="AB76" s="4">
        <v>3.4</v>
      </c>
      <c r="AC76" s="4">
        <v>12.5</v>
      </c>
      <c r="AD76" s="4"/>
      <c r="AE76" s="4">
        <v>91</v>
      </c>
      <c r="AF76" s="4"/>
      <c r="AG76" s="5">
        <v>13.922</v>
      </c>
      <c r="AH76" s="5"/>
      <c r="AI76" s="4" t="inlineStr">
        <is>
          <t>Non</t>
        </is>
      </c>
    </row>
    <row r="77" spans="1:37" x14ac:dyDescent="0.3">
      <c r="A77" s="3">
        <v>73</v>
      </c>
      <c r="B77" s="3" t="s">
        <v>207</v>
      </c>
      <c r="C77" s="3" t="s">
        <v>200</v>
      </c>
      <c r="D77" s="3">
        <v>2025</v>
      </c>
      <c r="E77" s="11">
        <v>45735</v>
      </c>
      <c r="F77" s="4" t="s">
        <v>73</v>
      </c>
      <c r="G77" s="4" t="s">
        <v>62</v>
      </c>
      <c r="H77" s="4"/>
      <c r="I77" s="4"/>
      <c r="J77" s="4"/>
      <c r="K77" s="27" t="s">
        <v>37</v>
      </c>
      <c r="L77" s="4"/>
      <c r="M77" s="4"/>
      <c r="N77" s="4"/>
      <c r="O77" s="4"/>
      <c r="P77" s="4"/>
      <c r="Q77" s="4"/>
      <c r="R77" s="4">
        <v>7.8</v>
      </c>
      <c r="S77" s="4">
        <v>3</v>
      </c>
      <c r="T77" s="4">
        <v>13.9</v>
      </c>
      <c r="U77" s="4">
        <v>20.3</v>
      </c>
      <c r="V77" s="4">
        <v>71.599999999999994</v>
      </c>
      <c r="W77" s="4">
        <v>8.1</v>
      </c>
      <c r="X77" s="4">
        <v>15.7</v>
      </c>
      <c r="Y77" s="4">
        <v>22.8</v>
      </c>
      <c r="Z77" s="28">
        <v>1.25</v>
      </c>
      <c r="AA77" s="4">
        <v>11.1</v>
      </c>
      <c r="AB77" s="4">
        <v>2</v>
      </c>
      <c r="AC77" s="4">
        <v>0</v>
      </c>
      <c r="AD77" s="4"/>
      <c r="AE77" s="4">
        <v>61</v>
      </c>
      <c r="AF77" s="4"/>
      <c r="AG77" s="5">
        <v>0.0</v>
      </c>
      <c r="AH77" s="5"/>
      <c r="AI77" s="4" t="inlineStr">
        <is>
          <t>Non</t>
        </is>
      </c>
    </row>
    <row r="78" spans="1:37" x14ac:dyDescent="0.3">
      <c r="A78" s="3">
        <v>74</v>
      </c>
      <c r="B78" s="3" t="s">
        <v>207</v>
      </c>
      <c r="C78" s="3" t="s">
        <v>200</v>
      </c>
      <c r="D78" s="3">
        <v>2025</v>
      </c>
      <c r="E78" s="11">
        <v>45744</v>
      </c>
      <c r="F78" s="4" t="s">
        <v>59</v>
      </c>
      <c r="G78" s="4" t="s">
        <v>42</v>
      </c>
      <c r="H78" s="4">
        <v>25</v>
      </c>
      <c r="I78" s="4"/>
      <c r="J78" s="24" t="s">
        <v>58</v>
      </c>
      <c r="K78" s="27" t="s">
        <v>37</v>
      </c>
      <c r="L78" s="4"/>
      <c r="M78" s="4"/>
      <c r="N78" s="4"/>
      <c r="O78" s="4"/>
      <c r="P78" s="4"/>
      <c r="Q78" s="4"/>
      <c r="R78" s="4">
        <v>7.8</v>
      </c>
      <c r="S78" s="4">
        <v>3</v>
      </c>
      <c r="T78" s="4">
        <v>13.9</v>
      </c>
      <c r="U78" s="4">
        <v>20.3</v>
      </c>
      <c r="V78" s="4">
        <v>71.599999999999994</v>
      </c>
      <c r="W78" s="4">
        <v>8.1</v>
      </c>
      <c r="X78" s="4">
        <v>15.7</v>
      </c>
      <c r="Y78" s="4">
        <v>22.8</v>
      </c>
      <c r="Z78" s="28">
        <v>1.25</v>
      </c>
      <c r="AA78" s="4">
        <v>7.4</v>
      </c>
      <c r="AB78" s="4">
        <v>2.2000000000000002</v>
      </c>
      <c r="AC78" s="4">
        <v>5.5</v>
      </c>
      <c r="AD78" s="4"/>
      <c r="AE78" s="4">
        <v>89</v>
      </c>
      <c r="AF78" s="4"/>
      <c r="AG78" s="5">
        <v>3.315</v>
      </c>
      <c r="AH78" s="5"/>
      <c r="AI78" s="4" t="inlineStr">
        <is>
          <t>Non</t>
        </is>
      </c>
    </row>
    <row r="79" spans="1:37" x14ac:dyDescent="0.3">
      <c r="A79" s="3">
        <v>75</v>
      </c>
      <c r="B79" s="3" t="s">
        <v>208</v>
      </c>
      <c r="C79" s="3" t="s">
        <v>201</v>
      </c>
      <c r="D79" s="3">
        <v>2018</v>
      </c>
      <c r="E79" s="11">
        <v>43173</v>
      </c>
      <c r="F79" s="4" t="s">
        <v>56</v>
      </c>
      <c r="G79" s="4" t="s">
        <v>42</v>
      </c>
      <c r="H79" s="13">
        <v>32</v>
      </c>
      <c r="I79" s="4"/>
      <c r="J79" s="24" t="s">
        <v>58</v>
      </c>
      <c r="K79" s="27" t="s">
        <v>37</v>
      </c>
      <c r="L79" s="4"/>
      <c r="M79" s="4"/>
      <c r="N79" s="4"/>
      <c r="O79" s="4"/>
      <c r="P79" s="4"/>
      <c r="Q79" s="4"/>
      <c r="R79" s="4">
        <v>7.7</v>
      </c>
      <c r="S79" s="4">
        <v>2</v>
      </c>
      <c r="T79" s="4">
        <v>13.6</v>
      </c>
      <c r="U79" s="4">
        <v>20.3</v>
      </c>
      <c r="V79" s="4">
        <v>71.599999999999994</v>
      </c>
      <c r="W79" s="4">
        <v>8.1</v>
      </c>
      <c r="X79" s="4">
        <v>16.2</v>
      </c>
      <c r="Y79" s="4">
        <v>20.7</v>
      </c>
      <c r="Z79" s="28">
        <v>1.32</v>
      </c>
      <c r="AA79" s="4">
        <v>8.8000000000000007</v>
      </c>
      <c r="AB79" s="4">
        <v>3.8</v>
      </c>
      <c r="AC79" s="4">
        <v>7.5</v>
      </c>
      <c r="AD79" s="4"/>
      <c r="AE79" s="4">
        <v>73</v>
      </c>
      <c r="AF79" s="15"/>
      <c r="AG79" s="5">
        <v>4.243</v>
      </c>
      <c r="AH79" s="5"/>
      <c r="AI79" s="4" t="inlineStr">
        <is>
          <t>Non</t>
        </is>
      </c>
    </row>
    <row r="80" spans="1:37" x14ac:dyDescent="0.3">
      <c r="A80" s="3">
        <v>76</v>
      </c>
      <c r="B80" s="3" t="s">
        <v>208</v>
      </c>
      <c r="C80" s="3" t="s">
        <v>201</v>
      </c>
      <c r="D80" s="3">
        <v>2018</v>
      </c>
      <c r="E80" s="11">
        <v>43186</v>
      </c>
      <c r="F80" s="4" t="s">
        <v>63</v>
      </c>
      <c r="G80" s="4" t="s">
        <v>42</v>
      </c>
      <c r="H80" s="4">
        <v>57</v>
      </c>
      <c r="I80" s="4"/>
      <c r="J80" s="24" t="s">
        <v>58</v>
      </c>
      <c r="K80" s="27" t="s">
        <v>37</v>
      </c>
      <c r="L80" s="4"/>
      <c r="M80" s="4"/>
      <c r="N80" s="4"/>
      <c r="O80" s="4"/>
      <c r="P80" s="4"/>
      <c r="Q80" s="4"/>
      <c r="R80" s="4">
        <v>7.7</v>
      </c>
      <c r="S80" s="4">
        <v>2</v>
      </c>
      <c r="T80" s="4">
        <v>13.6</v>
      </c>
      <c r="U80" s="4">
        <v>20.3</v>
      </c>
      <c r="V80" s="4">
        <v>71.599999999999994</v>
      </c>
      <c r="W80" s="4">
        <v>8.1</v>
      </c>
      <c r="X80" s="4">
        <v>16.2</v>
      </c>
      <c r="Y80" s="4">
        <v>20.7</v>
      </c>
      <c r="Z80" s="28">
        <v>1.32</v>
      </c>
      <c r="AA80" s="4">
        <v>8.5</v>
      </c>
      <c r="AB80" s="4">
        <v>4</v>
      </c>
      <c r="AC80" s="4">
        <v>4</v>
      </c>
      <c r="AD80" s="4"/>
      <c r="AE80" s="4">
        <v>88</v>
      </c>
      <c r="AF80" s="15"/>
      <c r="AG80" s="5">
        <v>7.558</v>
      </c>
      <c r="AH80" s="5"/>
      <c r="AI80" s="4" t="inlineStr">
        <is>
          <t>Non</t>
        </is>
      </c>
    </row>
    <row r="81" spans="1:37" x14ac:dyDescent="0.3">
      <c r="A81" s="3">
        <v>77</v>
      </c>
      <c r="B81" s="3" t="s">
        <v>208</v>
      </c>
      <c r="C81" s="3" t="s">
        <v>201</v>
      </c>
      <c r="D81" s="3">
        <v>2018</v>
      </c>
      <c r="E81" s="11">
        <v>43203</v>
      </c>
      <c r="F81" s="4" t="s">
        <v>59</v>
      </c>
      <c r="G81" s="4" t="s">
        <v>42</v>
      </c>
      <c r="H81" s="4">
        <v>43</v>
      </c>
      <c r="I81" s="4"/>
      <c r="J81" s="24" t="s">
        <v>58</v>
      </c>
      <c r="K81" s="27" t="s">
        <v>37</v>
      </c>
      <c r="L81" s="4"/>
      <c r="M81" s="4"/>
      <c r="N81" s="4"/>
      <c r="O81" s="4"/>
      <c r="P81" s="4"/>
      <c r="Q81" s="4"/>
      <c r="R81" s="4">
        <v>7.7</v>
      </c>
      <c r="S81" s="4">
        <v>2</v>
      </c>
      <c r="T81" s="4">
        <v>13.6</v>
      </c>
      <c r="U81" s="4">
        <v>20.3</v>
      </c>
      <c r="V81" s="4">
        <v>71.599999999999994</v>
      </c>
      <c r="W81" s="4">
        <v>8.1</v>
      </c>
      <c r="X81" s="4">
        <v>16.2</v>
      </c>
      <c r="Y81" s="4">
        <v>20.7</v>
      </c>
      <c r="Z81" s="28">
        <v>1.32</v>
      </c>
      <c r="AA81" s="4">
        <v>11.9</v>
      </c>
      <c r="AB81" s="4">
        <v>1.3</v>
      </c>
      <c r="AC81" s="4">
        <v>0</v>
      </c>
      <c r="AD81" s="4"/>
      <c r="AE81" s="4">
        <v>87</v>
      </c>
      <c r="AF81" s="4"/>
      <c r="AG81" s="5">
        <v>5.701</v>
      </c>
      <c r="AH81" s="5"/>
      <c r="AI81" s="4" t="inlineStr">
        <is>
          <t>Non</t>
        </is>
      </c>
    </row>
    <row r="82" spans="1:37" x14ac:dyDescent="0.3">
      <c r="A82" s="3">
        <v>78</v>
      </c>
      <c r="B82" s="3" t="s">
        <v>208</v>
      </c>
      <c r="C82" s="3" t="s">
        <v>201</v>
      </c>
      <c r="D82" s="3">
        <v>2018</v>
      </c>
      <c r="E82" s="11">
        <v>43232</v>
      </c>
      <c r="F82" s="4" t="s">
        <v>59</v>
      </c>
      <c r="G82" s="4" t="s">
        <v>42</v>
      </c>
      <c r="H82" s="4">
        <v>37</v>
      </c>
      <c r="I82" s="4"/>
      <c r="J82" s="24" t="s">
        <v>58</v>
      </c>
      <c r="K82" s="27" t="s">
        <v>37</v>
      </c>
      <c r="L82" s="4"/>
      <c r="M82" s="4"/>
      <c r="N82" s="4"/>
      <c r="O82" s="4"/>
      <c r="P82" s="4"/>
      <c r="Q82" s="4"/>
      <c r="R82" s="4">
        <v>7.7</v>
      </c>
      <c r="S82" s="4">
        <v>2</v>
      </c>
      <c r="T82" s="4">
        <v>13.6</v>
      </c>
      <c r="U82" s="4">
        <v>20.3</v>
      </c>
      <c r="V82" s="4">
        <v>71.599999999999994</v>
      </c>
      <c r="W82" s="4">
        <v>8.1</v>
      </c>
      <c r="X82" s="4">
        <v>16.2</v>
      </c>
      <c r="Y82" s="4">
        <v>20.7</v>
      </c>
      <c r="Z82" s="28">
        <v>1.32</v>
      </c>
      <c r="AA82" s="4">
        <v>12.9</v>
      </c>
      <c r="AB82" s="4">
        <v>1.9</v>
      </c>
      <c r="AC82" s="4">
        <v>5</v>
      </c>
      <c r="AD82" s="4"/>
      <c r="AE82" s="4">
        <v>85</v>
      </c>
      <c r="AF82" s="4"/>
      <c r="AG82" s="5">
        <v>4.906</v>
      </c>
      <c r="AH82" s="5"/>
      <c r="AI82" s="4" t="inlineStr">
        <is>
          <t>Non</t>
        </is>
      </c>
    </row>
    <row r="83" spans="1:37" x14ac:dyDescent="0.3">
      <c r="A83" s="3">
        <v>79</v>
      </c>
      <c r="B83" s="3" t="s">
        <v>208</v>
      </c>
      <c r="C83" s="3" t="s">
        <v>201</v>
      </c>
      <c r="D83" s="3">
        <v>2019</v>
      </c>
      <c r="E83" s="11">
        <v>43541</v>
      </c>
      <c r="F83" s="4" t="s">
        <v>59</v>
      </c>
      <c r="G83" s="4" t="s">
        <v>42</v>
      </c>
      <c r="H83" s="13">
        <v>57</v>
      </c>
      <c r="I83" s="4"/>
      <c r="J83" s="24" t="s">
        <v>58</v>
      </c>
      <c r="K83" s="27" t="s">
        <v>37</v>
      </c>
      <c r="L83" s="4"/>
      <c r="M83" s="4"/>
      <c r="N83" s="4"/>
      <c r="O83" s="4"/>
      <c r="P83" s="4"/>
      <c r="Q83" s="4"/>
      <c r="R83" s="4">
        <v>7.7</v>
      </c>
      <c r="S83" s="4">
        <v>2</v>
      </c>
      <c r="T83" s="4">
        <v>13.6</v>
      </c>
      <c r="U83" s="4">
        <v>20.3</v>
      </c>
      <c r="V83" s="4">
        <v>71.599999999999994</v>
      </c>
      <c r="W83" s="4">
        <v>8.1</v>
      </c>
      <c r="X83" s="4">
        <v>16.2</v>
      </c>
      <c r="Y83" s="4">
        <v>20.7</v>
      </c>
      <c r="Z83" s="28">
        <v>1.32</v>
      </c>
      <c r="AA83" s="4">
        <v>6.2</v>
      </c>
      <c r="AB83" s="4">
        <v>5</v>
      </c>
      <c r="AC83" s="4">
        <v>3.5</v>
      </c>
      <c r="AD83" s="4"/>
      <c r="AE83" s="4">
        <v>84</v>
      </c>
      <c r="AF83" s="4"/>
      <c r="AG83" s="5">
        <v>7.558</v>
      </c>
      <c r="AH83" s="5"/>
      <c r="AI83" s="4" t="inlineStr">
        <is>
          <t>Non</t>
        </is>
      </c>
    </row>
    <row r="84" spans="1:37" x14ac:dyDescent="0.3">
      <c r="A84" s="3">
        <v>80</v>
      </c>
      <c r="B84" s="3" t="s">
        <v>208</v>
      </c>
      <c r="C84" s="3" t="s">
        <v>201</v>
      </c>
      <c r="D84" s="3">
        <v>2019</v>
      </c>
      <c r="E84" s="11">
        <v>43582</v>
      </c>
      <c r="F84" s="4" t="s">
        <v>59</v>
      </c>
      <c r="G84" s="4" t="s">
        <v>42</v>
      </c>
      <c r="H84" s="13">
        <v>57</v>
      </c>
      <c r="I84" s="4"/>
      <c r="J84" s="24" t="s">
        <v>58</v>
      </c>
      <c r="K84" s="27" t="s">
        <v>37</v>
      </c>
      <c r="L84" s="4"/>
      <c r="M84" s="4"/>
      <c r="N84" s="4"/>
      <c r="O84" s="4"/>
      <c r="P84" s="4"/>
      <c r="Q84" s="4"/>
      <c r="R84" s="4">
        <v>7.7</v>
      </c>
      <c r="S84" s="4">
        <v>2</v>
      </c>
      <c r="T84" s="4">
        <v>13.6</v>
      </c>
      <c r="U84" s="4">
        <v>20.3</v>
      </c>
      <c r="V84" s="4">
        <v>71.599999999999994</v>
      </c>
      <c r="W84" s="4">
        <v>8.1</v>
      </c>
      <c r="X84" s="4">
        <v>16.2</v>
      </c>
      <c r="Y84" s="4">
        <v>20.7</v>
      </c>
      <c r="Z84" s="28">
        <v>1.32</v>
      </c>
      <c r="AA84" s="4">
        <v>8.6999999999999993</v>
      </c>
      <c r="AB84" s="4">
        <v>5.5</v>
      </c>
      <c r="AC84" s="4">
        <v>3.5</v>
      </c>
      <c r="AD84" s="4"/>
      <c r="AE84" s="4">
        <v>78</v>
      </c>
      <c r="AF84" s="4"/>
      <c r="AG84" s="5">
        <v>7.558</v>
      </c>
      <c r="AH84" s="5"/>
      <c r="AI84" s="4" t="inlineStr">
        <is>
          <t>Non</t>
        </is>
      </c>
    </row>
    <row r="85" spans="1:37" x14ac:dyDescent="0.3">
      <c r="A85" s="3">
        <v>81</v>
      </c>
      <c r="B85" s="3" t="s">
        <v>208</v>
      </c>
      <c r="C85" s="3" t="s">
        <v>201</v>
      </c>
      <c r="D85" s="3">
        <v>2020</v>
      </c>
      <c r="E85" s="11">
        <v>43879</v>
      </c>
      <c r="F85" s="13" t="s">
        <v>70</v>
      </c>
      <c r="G85" s="4" t="s">
        <v>42</v>
      </c>
      <c r="H85" s="4">
        <v>99</v>
      </c>
      <c r="I85" s="4"/>
      <c r="J85" s="24" t="s">
        <v>58</v>
      </c>
      <c r="K85" s="27" t="s">
        <v>37</v>
      </c>
      <c r="L85" s="4"/>
      <c r="M85" s="4"/>
      <c r="N85" s="4"/>
      <c r="O85" s="4"/>
      <c r="P85" s="4"/>
      <c r="Q85" s="4"/>
      <c r="R85" s="4">
        <v>7.7</v>
      </c>
      <c r="S85" s="4">
        <v>2</v>
      </c>
      <c r="T85" s="4">
        <v>13.6</v>
      </c>
      <c r="U85" s="4">
        <v>20.3</v>
      </c>
      <c r="V85" s="4">
        <v>71.599999999999994</v>
      </c>
      <c r="W85" s="4">
        <v>8.1</v>
      </c>
      <c r="X85" s="4">
        <v>16.2</v>
      </c>
      <c r="Y85" s="4">
        <v>20.7</v>
      </c>
      <c r="Z85" s="28">
        <v>1.32</v>
      </c>
      <c r="AA85" s="4">
        <v>7</v>
      </c>
      <c r="AB85" s="4">
        <v>4.9000000000000004</v>
      </c>
      <c r="AC85" s="4">
        <v>5.5</v>
      </c>
      <c r="AD85" s="4"/>
      <c r="AE85" s="4">
        <v>77</v>
      </c>
      <c r="AF85" s="4"/>
      <c r="AG85" s="5">
        <v>13.126</v>
      </c>
      <c r="AH85" s="5"/>
      <c r="AI85" s="4" t="inlineStr">
        <is>
          <t>Non</t>
        </is>
      </c>
    </row>
    <row r="86" spans="1:37" x14ac:dyDescent="0.3">
      <c r="A86" s="3">
        <v>82</v>
      </c>
      <c r="B86" s="3" t="s">
        <v>208</v>
      </c>
      <c r="C86" s="3" t="s">
        <v>201</v>
      </c>
      <c r="D86" s="3">
        <v>2020</v>
      </c>
      <c r="E86" s="11">
        <v>43898</v>
      </c>
      <c r="F86" s="4" t="s">
        <v>73</v>
      </c>
      <c r="G86" s="4" t="s">
        <v>62</v>
      </c>
      <c r="H86" s="4"/>
      <c r="I86" s="4"/>
      <c r="J86" s="24" t="s">
        <v>58</v>
      </c>
      <c r="K86" s="27" t="s">
        <v>37</v>
      </c>
      <c r="L86" s="4"/>
      <c r="M86" s="4"/>
      <c r="N86" s="4"/>
      <c r="O86" s="4"/>
      <c r="P86" s="4"/>
      <c r="Q86" s="4"/>
      <c r="R86" s="4">
        <v>7.7</v>
      </c>
      <c r="S86" s="4">
        <v>2</v>
      </c>
      <c r="T86" s="4">
        <v>13.6</v>
      </c>
      <c r="U86" s="4">
        <v>20.3</v>
      </c>
      <c r="V86" s="4">
        <v>71.599999999999994</v>
      </c>
      <c r="W86" s="4">
        <v>8.1</v>
      </c>
      <c r="X86" s="4">
        <v>16.2</v>
      </c>
      <c r="Y86" s="4">
        <v>20.7</v>
      </c>
      <c r="Z86" s="28">
        <v>1.32</v>
      </c>
      <c r="AA86" s="4">
        <v>8</v>
      </c>
      <c r="AB86" s="4">
        <v>4.7</v>
      </c>
      <c r="AC86" s="4">
        <v>3</v>
      </c>
      <c r="AD86" s="4"/>
      <c r="AE86" s="4">
        <v>88</v>
      </c>
      <c r="AF86" s="4"/>
      <c r="AG86" s="5">
        <v>0.0</v>
      </c>
      <c r="AH86" s="5"/>
      <c r="AI86" s="4" t="inlineStr">
        <is>
          <t>Non</t>
        </is>
      </c>
    </row>
    <row r="87" spans="1:37" x14ac:dyDescent="0.3">
      <c r="A87" s="3">
        <v>83</v>
      </c>
      <c r="B87" s="3" t="s">
        <v>208</v>
      </c>
      <c r="C87" s="3" t="s">
        <v>201</v>
      </c>
      <c r="D87" s="3">
        <v>2020</v>
      </c>
      <c r="E87" s="11">
        <v>43899</v>
      </c>
      <c r="F87" s="4" t="s">
        <v>78</v>
      </c>
      <c r="G87" s="4" t="s">
        <v>42</v>
      </c>
      <c r="H87" s="4">
        <v>92</v>
      </c>
      <c r="I87" s="4"/>
      <c r="J87" s="24" t="s">
        <v>58</v>
      </c>
      <c r="K87" s="27" t="s">
        <v>37</v>
      </c>
      <c r="L87" s="4"/>
      <c r="M87" s="4"/>
      <c r="N87" s="4"/>
      <c r="O87" s="4"/>
      <c r="P87" s="4"/>
      <c r="Q87" s="4"/>
      <c r="R87" s="4">
        <v>7.7</v>
      </c>
      <c r="S87" s="4">
        <v>2</v>
      </c>
      <c r="T87" s="4">
        <v>13.6</v>
      </c>
      <c r="U87" s="4">
        <v>20.3</v>
      </c>
      <c r="V87" s="4">
        <v>71.599999999999994</v>
      </c>
      <c r="W87" s="4">
        <v>8.1</v>
      </c>
      <c r="X87" s="4">
        <v>16.2</v>
      </c>
      <c r="Y87" s="4">
        <v>20.7</v>
      </c>
      <c r="Z87" s="28">
        <v>1.32</v>
      </c>
      <c r="AA87" s="4">
        <v>7.4</v>
      </c>
      <c r="AB87" s="4">
        <v>4.2</v>
      </c>
      <c r="AC87" s="4">
        <v>3</v>
      </c>
      <c r="AD87" s="4"/>
      <c r="AE87" s="4">
        <v>79</v>
      </c>
      <c r="AF87" s="4"/>
      <c r="AG87" s="5">
        <v>12.198</v>
      </c>
      <c r="AH87" s="5"/>
      <c r="AI87" s="4" t="inlineStr">
        <is>
          <t>Non</t>
        </is>
      </c>
    </row>
    <row r="88" spans="1:37" x14ac:dyDescent="0.3">
      <c r="A88" s="3">
        <v>84</v>
      </c>
      <c r="B88" s="3" t="s">
        <v>208</v>
      </c>
      <c r="C88" s="3" t="s">
        <v>201</v>
      </c>
      <c r="D88" s="3">
        <v>2021</v>
      </c>
      <c r="E88" s="11">
        <v>44247</v>
      </c>
      <c r="F88" s="4" t="s">
        <v>78</v>
      </c>
      <c r="G88" s="4" t="s">
        <v>42</v>
      </c>
      <c r="H88" s="4">
        <v>34</v>
      </c>
      <c r="I88" s="4"/>
      <c r="J88" s="24" t="s">
        <v>58</v>
      </c>
      <c r="K88" s="27" t="s">
        <v>37</v>
      </c>
      <c r="L88" s="4"/>
      <c r="M88" s="4"/>
      <c r="N88" s="4"/>
      <c r="O88" s="4"/>
      <c r="P88" s="4"/>
      <c r="Q88" s="4"/>
      <c r="R88" s="4">
        <v>7.7</v>
      </c>
      <c r="S88" s="4">
        <v>2</v>
      </c>
      <c r="T88" s="4">
        <v>13.6</v>
      </c>
      <c r="U88" s="4">
        <v>20.3</v>
      </c>
      <c r="V88" s="4">
        <v>71.599999999999994</v>
      </c>
      <c r="W88" s="4">
        <v>8.1</v>
      </c>
      <c r="X88" s="4">
        <v>16.2</v>
      </c>
      <c r="Y88" s="4">
        <v>20.7</v>
      </c>
      <c r="Z88" s="28">
        <v>1.32</v>
      </c>
      <c r="AA88" s="4">
        <v>13</v>
      </c>
      <c r="AB88" s="4">
        <v>4.5999999999999996</v>
      </c>
      <c r="AC88" s="4">
        <v>0</v>
      </c>
      <c r="AD88" s="4"/>
      <c r="AE88" s="4">
        <v>64</v>
      </c>
      <c r="AF88" s="4"/>
      <c r="AG88" s="5">
        <v>4.508</v>
      </c>
      <c r="AH88" s="5"/>
      <c r="AI88" s="4" t="inlineStr">
        <is>
          <t>Non</t>
        </is>
      </c>
    </row>
    <row r="89" spans="1:37" x14ac:dyDescent="0.3">
      <c r="A89" s="3">
        <v>85</v>
      </c>
      <c r="B89" s="3" t="s">
        <v>208</v>
      </c>
      <c r="C89" s="3" t="s">
        <v>201</v>
      </c>
      <c r="D89" s="3">
        <v>2021</v>
      </c>
      <c r="E89" s="11">
        <v>44265</v>
      </c>
      <c r="F89" s="4" t="s">
        <v>80</v>
      </c>
      <c r="G89" s="4" t="s">
        <v>42</v>
      </c>
      <c r="H89" s="4">
        <v>97</v>
      </c>
      <c r="I89" s="4"/>
      <c r="J89" s="24" t="s">
        <v>58</v>
      </c>
      <c r="K89" s="27" t="s">
        <v>37</v>
      </c>
      <c r="L89" s="4"/>
      <c r="M89" s="4"/>
      <c r="N89" s="4"/>
      <c r="O89" s="4"/>
      <c r="P89" s="4"/>
      <c r="Q89" s="4"/>
      <c r="R89" s="4">
        <v>7.7</v>
      </c>
      <c r="S89" s="4">
        <v>2</v>
      </c>
      <c r="T89" s="4">
        <v>13.6</v>
      </c>
      <c r="U89" s="4">
        <v>20.3</v>
      </c>
      <c r="V89" s="4">
        <v>71.599999999999994</v>
      </c>
      <c r="W89" s="4">
        <v>8.1</v>
      </c>
      <c r="X89" s="4">
        <v>16.2</v>
      </c>
      <c r="Y89" s="4">
        <v>20.7</v>
      </c>
      <c r="Z89" s="28">
        <v>1.32</v>
      </c>
      <c r="AA89" s="4">
        <v>5.9</v>
      </c>
      <c r="AB89" s="4">
        <v>4.5999999999999996</v>
      </c>
      <c r="AC89" s="4">
        <v>1</v>
      </c>
      <c r="AD89" s="4"/>
      <c r="AE89" s="4">
        <v>78</v>
      </c>
      <c r="AF89" s="4"/>
      <c r="AG89" s="5">
        <v>12.861</v>
      </c>
      <c r="AH89" s="5"/>
      <c r="AI89" s="4" t="inlineStr">
        <is>
          <t>Non</t>
        </is>
      </c>
    </row>
    <row r="90" spans="1:37" x14ac:dyDescent="0.3">
      <c r="A90" s="3">
        <v>86</v>
      </c>
      <c r="B90" s="3" t="s">
        <v>208</v>
      </c>
      <c r="C90" s="3" t="s">
        <v>201</v>
      </c>
      <c r="D90" s="3">
        <v>2021</v>
      </c>
      <c r="E90" s="11">
        <v>44322</v>
      </c>
      <c r="F90" s="4" t="s">
        <v>59</v>
      </c>
      <c r="G90" s="4" t="s">
        <v>42</v>
      </c>
      <c r="H90" s="4" t="s">
        <v>196</v>
      </c>
      <c r="I90" s="4"/>
      <c r="J90" s="24" t="s">
        <v>58</v>
      </c>
      <c r="K90" s="27" t="s">
        <v>37</v>
      </c>
      <c r="L90" s="4"/>
      <c r="M90" s="4"/>
      <c r="N90" s="4"/>
      <c r="O90" s="4"/>
      <c r="P90" s="4"/>
      <c r="Q90" s="4"/>
      <c r="R90" s="4">
        <v>7.7</v>
      </c>
      <c r="S90" s="4">
        <v>2</v>
      </c>
      <c r="T90" s="4">
        <v>13.6</v>
      </c>
      <c r="U90" s="4">
        <v>20.3</v>
      </c>
      <c r="V90" s="4">
        <v>71.599999999999994</v>
      </c>
      <c r="W90" s="4">
        <v>8.1</v>
      </c>
      <c r="X90" s="4">
        <v>16.2</v>
      </c>
      <c r="Y90" s="4">
        <v>20.7</v>
      </c>
      <c r="Z90" s="28">
        <v>1.32</v>
      </c>
      <c r="AA90" s="4">
        <v>7.5</v>
      </c>
      <c r="AB90" s="4">
        <v>1.8</v>
      </c>
      <c r="AC90" s="4">
        <v>6.5</v>
      </c>
      <c r="AD90" s="4"/>
      <c r="AE90" s="4">
        <v>89</v>
      </c>
      <c r="AF90" s="4"/>
      <c r="AG90" s="5">
        <v>7.756</v>
      </c>
      <c r="AH90" s="5"/>
      <c r="AI90" s="4" t="inlineStr">
        <is>
          <t>Non</t>
        </is>
      </c>
    </row>
    <row r="91" spans="1:37" x14ac:dyDescent="0.3">
      <c r="A91" s="3">
        <v>87</v>
      </c>
      <c r="B91" s="3" t="s">
        <v>208</v>
      </c>
      <c r="C91" s="3" t="s">
        <v>201</v>
      </c>
      <c r="D91" s="3">
        <v>2022</v>
      </c>
      <c r="E91" s="11">
        <v>44672</v>
      </c>
      <c r="F91" s="4" t="s">
        <v>59</v>
      </c>
      <c r="G91" s="4" t="s">
        <v>42</v>
      </c>
      <c r="H91" s="13">
        <v>58</v>
      </c>
      <c r="I91" s="4"/>
      <c r="J91" s="24" t="s">
        <v>58</v>
      </c>
      <c r="K91" s="27" t="s">
        <v>37</v>
      </c>
      <c r="L91" s="4"/>
      <c r="M91" s="4"/>
      <c r="N91" s="4"/>
      <c r="O91" s="4"/>
      <c r="P91" s="4"/>
      <c r="Q91" s="4"/>
      <c r="R91" s="4">
        <v>7.7</v>
      </c>
      <c r="S91" s="4">
        <v>2</v>
      </c>
      <c r="T91" s="4">
        <v>13.6</v>
      </c>
      <c r="U91" s="4">
        <v>20.3</v>
      </c>
      <c r="V91" s="4">
        <v>71.599999999999994</v>
      </c>
      <c r="W91" s="4">
        <v>8.1</v>
      </c>
      <c r="X91" s="4">
        <v>16.2</v>
      </c>
      <c r="Y91" s="4">
        <v>20.7</v>
      </c>
      <c r="Z91" s="28">
        <v>1.32</v>
      </c>
      <c r="AA91" s="4">
        <v>12.7</v>
      </c>
      <c r="AB91" s="4">
        <v>2.2999999999999998</v>
      </c>
      <c r="AC91" s="4">
        <v>0</v>
      </c>
      <c r="AD91" s="4"/>
      <c r="AE91" s="4">
        <v>57</v>
      </c>
      <c r="AF91" s="4"/>
      <c r="AG91" s="5">
        <v>7.69</v>
      </c>
      <c r="AH91" s="5"/>
      <c r="AI91" s="4" t="inlineStr">
        <is>
          <t>Non</t>
        </is>
      </c>
    </row>
    <row r="92" spans="1:37" x14ac:dyDescent="0.3">
      <c r="A92" s="3">
        <v>88</v>
      </c>
      <c r="B92" s="3" t="s">
        <v>208</v>
      </c>
      <c r="C92" s="3" t="s">
        <v>201</v>
      </c>
      <c r="D92" s="3">
        <v>2022</v>
      </c>
      <c r="E92" s="11">
        <v>44700</v>
      </c>
      <c r="F92" s="4" t="s">
        <v>48</v>
      </c>
      <c r="G92" s="4" t="s">
        <v>48</v>
      </c>
      <c r="H92" s="4">
        <v>40</v>
      </c>
      <c r="I92" s="4"/>
      <c r="J92" s="24" t="s">
        <v>55</v>
      </c>
      <c r="K92" s="27" t="s">
        <v>37</v>
      </c>
      <c r="L92" s="4"/>
      <c r="M92" s="4"/>
      <c r="N92" s="4"/>
      <c r="O92" s="4"/>
      <c r="P92" s="4"/>
      <c r="Q92" s="4"/>
      <c r="R92" s="4">
        <v>7.7</v>
      </c>
      <c r="S92" s="4">
        <v>2</v>
      </c>
      <c r="T92" s="4">
        <v>13.6</v>
      </c>
      <c r="U92" s="4">
        <v>20.3</v>
      </c>
      <c r="V92" s="4">
        <v>71.599999999999994</v>
      </c>
      <c r="W92" s="4">
        <v>8.1</v>
      </c>
      <c r="X92" s="4">
        <v>16.2</v>
      </c>
      <c r="Y92" s="4">
        <v>20.7</v>
      </c>
      <c r="Z92" s="28">
        <v>1.32</v>
      </c>
      <c r="AA92" s="4">
        <v>20.100000000000001</v>
      </c>
      <c r="AB92" s="4">
        <v>2.2999999999999998</v>
      </c>
      <c r="AC92" s="4">
        <v>0.5</v>
      </c>
      <c r="AD92" s="4"/>
      <c r="AE92" s="4">
        <v>71</v>
      </c>
      <c r="AF92" s="4"/>
      <c r="AG92" s="5">
        <v>6.786</v>
      </c>
      <c r="AH92" s="5"/>
      <c r="AI92" s="4" t="inlineStr">
        <is>
          <t>Non</t>
        </is>
      </c>
    </row>
    <row r="93" spans="1:37" x14ac:dyDescent="0.3">
      <c r="A93" s="3">
        <v>89</v>
      </c>
      <c r="B93" s="3" t="s">
        <v>208</v>
      </c>
      <c r="C93" s="3" t="s">
        <v>201</v>
      </c>
      <c r="D93" s="3">
        <v>2023</v>
      </c>
      <c r="E93" s="11">
        <v>44970</v>
      </c>
      <c r="F93" s="4" t="s">
        <v>59</v>
      </c>
      <c r="G93" s="4" t="s">
        <v>42</v>
      </c>
      <c r="H93" s="4">
        <v>43</v>
      </c>
      <c r="I93" s="4"/>
      <c r="J93" s="24" t="s">
        <v>58</v>
      </c>
      <c r="K93" s="27" t="s">
        <v>37</v>
      </c>
      <c r="L93" s="4"/>
      <c r="M93" s="4"/>
      <c r="N93" s="4"/>
      <c r="O93" s="4"/>
      <c r="P93" s="4"/>
      <c r="Q93" s="4"/>
      <c r="R93" s="4">
        <v>7.7</v>
      </c>
      <c r="S93" s="4">
        <v>2</v>
      </c>
      <c r="T93" s="4">
        <v>13.6</v>
      </c>
      <c r="U93" s="4">
        <v>20.3</v>
      </c>
      <c r="V93" s="4">
        <v>71.599999999999994</v>
      </c>
      <c r="W93" s="4">
        <v>8.1</v>
      </c>
      <c r="X93" s="4">
        <v>16.2</v>
      </c>
      <c r="Y93" s="4">
        <v>20.7</v>
      </c>
      <c r="Z93" s="28">
        <v>1.32</v>
      </c>
      <c r="AA93" s="4">
        <v>5.6</v>
      </c>
      <c r="AB93" s="4">
        <v>1.1000000000000001</v>
      </c>
      <c r="AC93" s="4">
        <v>0.5</v>
      </c>
      <c r="AD93" s="4"/>
      <c r="AE93" s="4">
        <v>84</v>
      </c>
      <c r="AF93" s="4"/>
      <c r="AG93" s="5">
        <v>5.701</v>
      </c>
      <c r="AH93" s="5"/>
      <c r="AI93" s="4" t="inlineStr">
        <is>
          <t>Non</t>
        </is>
      </c>
    </row>
    <row r="94" spans="1:37" x14ac:dyDescent="0.3">
      <c r="A94" s="3">
        <v>90</v>
      </c>
      <c r="B94" s="3" t="s">
        <v>208</v>
      </c>
      <c r="C94" s="3" t="s">
        <v>201</v>
      </c>
      <c r="D94" s="3">
        <v>2023</v>
      </c>
      <c r="E94" s="11">
        <v>44970</v>
      </c>
      <c r="F94" s="4" t="s">
        <v>72</v>
      </c>
      <c r="G94" s="4" t="s">
        <v>54</v>
      </c>
      <c r="H94" s="4" t="s">
        <v>197</v>
      </c>
      <c r="I94" s="4"/>
      <c r="J94" s="24" t="s">
        <v>58</v>
      </c>
      <c r="K94" s="27" t="s">
        <v>37</v>
      </c>
      <c r="L94" s="4"/>
      <c r="M94" s="4"/>
      <c r="N94" s="4"/>
      <c r="O94" s="4"/>
      <c r="P94" s="4"/>
      <c r="Q94" s="4"/>
      <c r="R94" s="4">
        <v>7.7</v>
      </c>
      <c r="S94" s="4">
        <v>2</v>
      </c>
      <c r="T94" s="4">
        <v>13.6</v>
      </c>
      <c r="U94" s="4">
        <v>20.3</v>
      </c>
      <c r="V94" s="4">
        <v>71.599999999999994</v>
      </c>
      <c r="W94" s="4">
        <v>8.1</v>
      </c>
      <c r="X94" s="4">
        <v>16.2</v>
      </c>
      <c r="Y94" s="4">
        <v>20.7</v>
      </c>
      <c r="Z94" s="28">
        <v>1.32</v>
      </c>
      <c r="AA94" s="4">
        <v>5.6</v>
      </c>
      <c r="AB94" s="4">
        <v>1.1000000000000001</v>
      </c>
      <c r="AC94" s="4">
        <v>0.5</v>
      </c>
      <c r="AD94" s="4"/>
      <c r="AE94" s="4">
        <v>84</v>
      </c>
      <c r="AF94" s="4"/>
      <c r="AG94" s="5">
        <v>1.001</v>
      </c>
      <c r="AH94" s="5"/>
      <c r="AI94" s="4" t="inlineStr">
        <is>
          <t>Non</t>
        </is>
      </c>
    </row>
    <row r="95" spans="1:37" x14ac:dyDescent="0.3">
      <c r="A95" s="3">
        <v>91</v>
      </c>
      <c r="B95" s="3" t="s">
        <v>208</v>
      </c>
      <c r="C95" s="3" t="s">
        <v>201</v>
      </c>
      <c r="D95" s="3">
        <v>2023</v>
      </c>
      <c r="E95" s="11">
        <v>44992</v>
      </c>
      <c r="F95" s="4" t="s">
        <v>59</v>
      </c>
      <c r="G95" s="4" t="s">
        <v>42</v>
      </c>
      <c r="H95" s="13">
        <v>60</v>
      </c>
      <c r="I95" s="4"/>
      <c r="J95" s="24" t="s">
        <v>58</v>
      </c>
      <c r="K95" s="27" t="s">
        <v>37</v>
      </c>
      <c r="L95" s="4"/>
      <c r="M95" s="4"/>
      <c r="N95" s="4"/>
      <c r="O95" s="4"/>
      <c r="P95" s="4"/>
      <c r="Q95" s="4"/>
      <c r="R95" s="4">
        <v>7.7</v>
      </c>
      <c r="S95" s="4">
        <v>2</v>
      </c>
      <c r="T95" s="4">
        <v>13.6</v>
      </c>
      <c r="U95" s="4">
        <v>20.3</v>
      </c>
      <c r="V95" s="4">
        <v>71.599999999999994</v>
      </c>
      <c r="W95" s="4">
        <v>8.1</v>
      </c>
      <c r="X95" s="4">
        <v>16.2</v>
      </c>
      <c r="Y95" s="4">
        <v>20.7</v>
      </c>
      <c r="Z95" s="28">
        <v>1.32</v>
      </c>
      <c r="AA95" s="4">
        <v>5.9</v>
      </c>
      <c r="AB95" s="4">
        <v>3.9</v>
      </c>
      <c r="AC95" s="4">
        <v>8</v>
      </c>
      <c r="AD95" s="4"/>
      <c r="AE95" s="4">
        <v>71</v>
      </c>
      <c r="AF95" s="4"/>
      <c r="AG95" s="5">
        <v>7.955</v>
      </c>
      <c r="AH95" s="5"/>
      <c r="AI95" s="4" t="inlineStr">
        <is>
          <t>Oui</t>
        </is>
      </c>
      <c r="AJ95" s="4" t="inlineStr">
        <is>
          <t>à déterminer (uréase/nitrification)</t>
        </is>
      </c>
    </row>
    <row r="96" spans="1:37" x14ac:dyDescent="0.3">
      <c r="A96" s="3">
        <v>92</v>
      </c>
      <c r="B96" s="3" t="s">
        <v>208</v>
      </c>
      <c r="C96" s="3" t="s">
        <v>201</v>
      </c>
      <c r="D96" s="3">
        <v>2023</v>
      </c>
      <c r="E96" s="11">
        <v>44992</v>
      </c>
      <c r="F96" s="4" t="s">
        <v>76</v>
      </c>
      <c r="G96" s="4" t="inlineStr">
        <is>
          <t>Additif</t>
        </is>
      </c>
      <c r="H96" s="4">
        <v>0</v>
      </c>
      <c r="I96" s="4">
        <v>0</v>
      </c>
      <c r="J96" s="24" t="s">
        <v>58</v>
      </c>
      <c r="K96" s="27" t="s">
        <v>37</v>
      </c>
      <c r="L96" s="4"/>
      <c r="M96" s="4"/>
      <c r="N96" s="4"/>
      <c r="O96" s="4"/>
      <c r="P96" s="4"/>
      <c r="Q96" s="4"/>
      <c r="R96" s="4">
        <v>7.7</v>
      </c>
      <c r="S96" s="4">
        <v>2</v>
      </c>
      <c r="T96" s="4">
        <v>13.6</v>
      </c>
      <c r="U96" s="4">
        <v>20.3</v>
      </c>
      <c r="V96" s="4">
        <v>71.599999999999994</v>
      </c>
      <c r="W96" s="4">
        <v>8.1</v>
      </c>
      <c r="X96" s="4">
        <v>16.2</v>
      </c>
      <c r="Y96" s="4">
        <v>20.7</v>
      </c>
      <c r="Z96" s="28">
        <v>1.32</v>
      </c>
      <c r="AA96" s="4">
        <v>5.9</v>
      </c>
      <c r="AB96" s="4">
        <v>3.9</v>
      </c>
      <c r="AC96" s="4">
        <v>8</v>
      </c>
      <c r="AD96" s="4"/>
      <c r="AE96" s="4">
        <v>71</v>
      </c>
      <c r="AF96" s="4"/>
      <c r="AG96" s="5">
        <v>0.0</v>
      </c>
      <c r="AH96" s="5"/>
      <c r="AI96" s="4" t="inlineStr">
        <is>
          <t>Non</t>
        </is>
      </c>
      <c r="AK96" s="4" t="inlineStr">
        <is>
          <t>Inhibiteur (sans N) — non-émetteur, exclure du calcul EMEP</t>
        </is>
      </c>
    </row>
    <row r="97" spans="1:37" x14ac:dyDescent="0.3">
      <c r="A97" s="3">
        <v>93</v>
      </c>
      <c r="B97" s="3" t="s">
        <v>208</v>
      </c>
      <c r="C97" s="3" t="s">
        <v>201</v>
      </c>
      <c r="D97" s="3">
        <v>2023</v>
      </c>
      <c r="E97" s="11">
        <v>45038</v>
      </c>
      <c r="F97" s="4" t="s">
        <v>59</v>
      </c>
      <c r="G97" s="4" t="s">
        <v>42</v>
      </c>
      <c r="H97" s="4">
        <v>39</v>
      </c>
      <c r="I97" s="4"/>
      <c r="J97" s="24" t="s">
        <v>58</v>
      </c>
      <c r="K97" s="27" t="s">
        <v>37</v>
      </c>
      <c r="L97" s="4"/>
      <c r="M97" s="4"/>
      <c r="N97" s="4"/>
      <c r="O97" s="4"/>
      <c r="P97" s="4"/>
      <c r="Q97" s="4"/>
      <c r="R97" s="4">
        <v>7.7</v>
      </c>
      <c r="S97" s="4">
        <v>2</v>
      </c>
      <c r="T97" s="4">
        <v>13.6</v>
      </c>
      <c r="U97" s="4">
        <v>20.3</v>
      </c>
      <c r="V97" s="4">
        <v>71.599999999999994</v>
      </c>
      <c r="W97" s="4">
        <v>8.1</v>
      </c>
      <c r="X97" s="4">
        <v>16.2</v>
      </c>
      <c r="Y97" s="4">
        <v>20.7</v>
      </c>
      <c r="Z97" s="28">
        <v>1.32</v>
      </c>
      <c r="AA97" s="4">
        <v>10.5</v>
      </c>
      <c r="AB97" s="4">
        <v>2.2000000000000002</v>
      </c>
      <c r="AC97" s="4">
        <v>4</v>
      </c>
      <c r="AD97" s="4"/>
      <c r="AE97" s="4">
        <v>78</v>
      </c>
      <c r="AF97" s="4"/>
      <c r="AG97" s="5">
        <v>5.171</v>
      </c>
      <c r="AH97" s="5"/>
      <c r="AI97" s="4" t="inlineStr">
        <is>
          <t>Non</t>
        </is>
      </c>
    </row>
    <row r="98" spans="1:37" x14ac:dyDescent="0.3">
      <c r="A98" s="3">
        <v>94</v>
      </c>
      <c r="B98" s="3" t="s">
        <v>208</v>
      </c>
      <c r="C98" s="3" t="s">
        <v>201</v>
      </c>
      <c r="D98" s="3">
        <v>2024</v>
      </c>
      <c r="E98" s="11">
        <v>45343</v>
      </c>
      <c r="F98" s="4" t="s">
        <v>59</v>
      </c>
      <c r="G98" s="4" t="s">
        <v>42</v>
      </c>
      <c r="H98" s="4">
        <v>39</v>
      </c>
      <c r="I98" s="4"/>
      <c r="J98" s="24" t="s">
        <v>58</v>
      </c>
      <c r="K98" s="27" t="s">
        <v>37</v>
      </c>
      <c r="L98" s="4"/>
      <c r="M98" s="4"/>
      <c r="N98" s="4"/>
      <c r="O98" s="4"/>
      <c r="P98" s="4"/>
      <c r="Q98" s="4"/>
      <c r="R98" s="4">
        <v>7.7</v>
      </c>
      <c r="S98" s="4">
        <v>2</v>
      </c>
      <c r="T98" s="4">
        <v>13.6</v>
      </c>
      <c r="U98" s="4">
        <v>20.3</v>
      </c>
      <c r="V98" s="4">
        <v>71.599999999999994</v>
      </c>
      <c r="W98" s="4">
        <v>8.1</v>
      </c>
      <c r="X98" s="4">
        <v>16.2</v>
      </c>
      <c r="Y98" s="4">
        <v>20.7</v>
      </c>
      <c r="Z98" s="28">
        <v>1.32</v>
      </c>
      <c r="AA98" s="4">
        <v>8.8000000000000007</v>
      </c>
      <c r="AB98" s="4">
        <v>4.7</v>
      </c>
      <c r="AC98" s="4">
        <v>11</v>
      </c>
      <c r="AD98" s="4"/>
      <c r="AE98" s="4">
        <v>90</v>
      </c>
      <c r="AF98" s="4"/>
      <c r="AG98" s="5">
        <v>5.171</v>
      </c>
      <c r="AH98" s="5"/>
      <c r="AI98" s="4" t="inlineStr">
        <is>
          <t>Non</t>
        </is>
      </c>
    </row>
    <row r="99" spans="1:37" x14ac:dyDescent="0.3">
      <c r="A99" s="3">
        <v>95</v>
      </c>
      <c r="B99" s="3" t="s">
        <v>208</v>
      </c>
      <c r="C99" s="3" t="s">
        <v>201</v>
      </c>
      <c r="D99" s="3">
        <v>2024</v>
      </c>
      <c r="E99" s="11">
        <v>45443</v>
      </c>
      <c r="F99" s="4" t="s">
        <v>65</v>
      </c>
      <c r="G99" s="4" t="s">
        <v>45</v>
      </c>
      <c r="H99" s="13">
        <v>140</v>
      </c>
      <c r="I99" s="4">
        <f>H99*0.52</f>
        <v>72.8</v>
      </c>
      <c r="J99" s="24" t="s">
        <v>55</v>
      </c>
      <c r="K99" s="27" t="s">
        <v>37</v>
      </c>
      <c r="L99" s="4"/>
      <c r="M99" s="4"/>
      <c r="N99" s="4"/>
      <c r="O99" s="4"/>
      <c r="P99" s="4"/>
      <c r="Q99" s="4"/>
      <c r="R99" s="4">
        <v>7.7</v>
      </c>
      <c r="S99" s="4">
        <v>2</v>
      </c>
      <c r="T99" s="4">
        <v>13.6</v>
      </c>
      <c r="U99" s="4">
        <v>20.3</v>
      </c>
      <c r="V99" s="4">
        <v>71.599999999999994</v>
      </c>
      <c r="W99" s="4">
        <v>8.1</v>
      </c>
      <c r="X99" s="4">
        <v>16.2</v>
      </c>
      <c r="Y99" s="4">
        <v>20.7</v>
      </c>
      <c r="Z99" s="28">
        <v>1.32</v>
      </c>
      <c r="AA99" s="4">
        <v>12.8</v>
      </c>
      <c r="AB99" s="4">
        <v>2.8</v>
      </c>
      <c r="AC99" s="4">
        <v>8</v>
      </c>
      <c r="AD99" s="4"/>
      <c r="AE99" s="4">
        <v>91</v>
      </c>
      <c r="AF99" s="4"/>
      <c r="AG99" s="5">
        <v>5.995</v>
      </c>
      <c r="AH99" s="5"/>
      <c r="AI99" s="4" t="inlineStr">
        <is>
          <t>Non</t>
        </is>
      </c>
    </row>
    <row r="100" spans="1:37" x14ac:dyDescent="0.3">
      <c r="A100" s="3">
        <v>96</v>
      </c>
      <c r="B100" s="3" t="s">
        <v>208</v>
      </c>
      <c r="C100" s="3" t="s">
        <v>201</v>
      </c>
      <c r="D100" s="3">
        <v>2025</v>
      </c>
      <c r="E100" s="11">
        <v>45749</v>
      </c>
      <c r="F100" s="4" t="s">
        <v>41</v>
      </c>
      <c r="G100" s="4" t="s">
        <v>35</v>
      </c>
      <c r="H100" s="13">
        <v>135</v>
      </c>
      <c r="I100" s="4">
        <f>H100*0.4035</f>
        <v>54.472500000000004</v>
      </c>
      <c r="J100" s="24" t="s">
        <v>36</v>
      </c>
      <c r="K100" s="27" t="s">
        <v>37</v>
      </c>
      <c r="L100" s="4"/>
      <c r="M100" s="4"/>
      <c r="N100" s="4"/>
      <c r="O100" s="4"/>
      <c r="P100" s="4">
        <v>7.4</v>
      </c>
      <c r="Q100" s="4">
        <v>8.1</v>
      </c>
      <c r="R100" s="4">
        <v>7.7</v>
      </c>
      <c r="S100" s="4">
        <v>2</v>
      </c>
      <c r="T100" s="4">
        <v>13.6</v>
      </c>
      <c r="U100" s="4">
        <v>20.3</v>
      </c>
      <c r="V100" s="4">
        <v>71.599999999999994</v>
      </c>
      <c r="W100" s="4">
        <v>8.1</v>
      </c>
      <c r="X100" s="4">
        <v>16.2</v>
      </c>
      <c r="Y100" s="4">
        <v>20.7</v>
      </c>
      <c r="Z100" s="28">
        <v>1.32</v>
      </c>
      <c r="AA100" s="4">
        <v>11.1</v>
      </c>
      <c r="AB100" s="4">
        <v>3.7</v>
      </c>
      <c r="AC100" s="4">
        <v>0</v>
      </c>
      <c r="AD100" s="4"/>
      <c r="AE100" s="4">
        <v>58</v>
      </c>
      <c r="AF100" s="4"/>
      <c r="AG100" s="5">
        <v>29.96</v>
      </c>
      <c r="AH100" s="5">
        <v>55.0</v>
      </c>
      <c r="AI100" s="4" t="inlineStr">
        <is>
          <t>Non</t>
        </is>
      </c>
    </row>
    <row r="101" spans="1:37" x14ac:dyDescent="0.3">
      <c r="A101" s="3">
        <v>97</v>
      </c>
      <c r="B101" s="3" t="s">
        <v>208</v>
      </c>
      <c r="C101" s="3" t="s">
        <v>201</v>
      </c>
      <c r="D101" s="3">
        <v>2025</v>
      </c>
      <c r="E101" s="11">
        <v>45842</v>
      </c>
      <c r="F101" s="4" t="s">
        <v>44</v>
      </c>
      <c r="G101" s="4" t="s">
        <v>35</v>
      </c>
      <c r="H101" s="13">
        <v>123</v>
      </c>
      <c r="I101" s="4">
        <f>H101*0.5097</f>
        <v>62.693100000000008</v>
      </c>
      <c r="J101" s="24" t="s">
        <v>32</v>
      </c>
      <c r="K101" s="27" t="s">
        <v>37</v>
      </c>
      <c r="L101" s="4"/>
      <c r="M101" s="4"/>
      <c r="N101" s="4"/>
      <c r="O101" s="4"/>
      <c r="P101" s="4">
        <v>9.5</v>
      </c>
      <c r="Q101" s="4">
        <v>8.1</v>
      </c>
      <c r="R101" s="4">
        <v>7.7</v>
      </c>
      <c r="S101" s="4">
        <v>2</v>
      </c>
      <c r="T101" s="4">
        <v>13.6</v>
      </c>
      <c r="U101" s="4">
        <v>20.3</v>
      </c>
      <c r="V101" s="4">
        <v>71.599999999999994</v>
      </c>
      <c r="W101" s="4">
        <v>8.1</v>
      </c>
      <c r="X101" s="4">
        <v>16.2</v>
      </c>
      <c r="Y101" s="4">
        <v>20.7</v>
      </c>
      <c r="Z101" s="28">
        <v>1.32</v>
      </c>
      <c r="AA101" s="4">
        <v>19.8</v>
      </c>
      <c r="AB101" s="4">
        <v>1.3</v>
      </c>
      <c r="AC101" s="4">
        <v>0</v>
      </c>
      <c r="AD101" s="4"/>
      <c r="AE101" s="4">
        <v>49</v>
      </c>
      <c r="AF101" s="4"/>
      <c r="AG101" s="5">
        <v>34.481</v>
      </c>
      <c r="AH101" s="5">
        <v>55.0</v>
      </c>
      <c r="AI101" s="4" t="inlineStr">
        <is>
          <t>Non</t>
        </is>
      </c>
    </row>
    <row r="102" spans="1:37" x14ac:dyDescent="0.3">
      <c r="A102" s="3">
        <v>98</v>
      </c>
      <c r="B102" s="3" t="s">
        <v>209</v>
      </c>
      <c r="C102" s="3" t="s">
        <v>202</v>
      </c>
      <c r="D102" s="3">
        <v>2018</v>
      </c>
      <c r="E102" s="11">
        <v>43186</v>
      </c>
      <c r="F102" s="4" t="s">
        <v>63</v>
      </c>
      <c r="G102" s="4" t="s">
        <v>42</v>
      </c>
      <c r="H102" s="4">
        <v>57</v>
      </c>
      <c r="I102" s="4"/>
      <c r="J102" s="24" t="s">
        <v>58</v>
      </c>
      <c r="K102" s="27" t="s">
        <v>37</v>
      </c>
      <c r="L102" s="4"/>
      <c r="M102" s="4"/>
      <c r="N102" s="4"/>
      <c r="O102" s="4"/>
      <c r="P102" s="4"/>
      <c r="Q102" s="4"/>
      <c r="R102" s="4">
        <v>7.7</v>
      </c>
      <c r="S102" s="4">
        <v>3</v>
      </c>
      <c r="T102" s="4">
        <v>12.9</v>
      </c>
      <c r="U102" s="4">
        <v>20.3</v>
      </c>
      <c r="V102" s="4">
        <v>71.599999999999994</v>
      </c>
      <c r="W102" s="4">
        <v>8.1</v>
      </c>
      <c r="X102" s="4">
        <v>15.9</v>
      </c>
      <c r="Y102" s="4">
        <v>20.5</v>
      </c>
      <c r="Z102" s="28">
        <v>1.26</v>
      </c>
      <c r="AA102" s="4">
        <v>8.5</v>
      </c>
      <c r="AB102" s="4">
        <v>4</v>
      </c>
      <c r="AC102" s="4">
        <v>4</v>
      </c>
      <c r="AD102" s="4"/>
      <c r="AE102" s="4">
        <v>88</v>
      </c>
      <c r="AF102" s="15"/>
      <c r="AG102" s="5">
        <v>7.558</v>
      </c>
      <c r="AH102" s="5"/>
      <c r="AI102" s="4" t="inlineStr">
        <is>
          <t>Non</t>
        </is>
      </c>
    </row>
    <row r="103" spans="1:37" x14ac:dyDescent="0.3">
      <c r="A103" s="3">
        <v>99</v>
      </c>
      <c r="B103" s="3" t="s">
        <v>209</v>
      </c>
      <c r="C103" s="3" t="s">
        <v>202</v>
      </c>
      <c r="D103" s="3">
        <v>2018</v>
      </c>
      <c r="E103" s="11">
        <v>43202</v>
      </c>
      <c r="F103" s="4" t="s">
        <v>59</v>
      </c>
      <c r="G103" s="4" t="s">
        <v>42</v>
      </c>
      <c r="H103" s="13">
        <v>50</v>
      </c>
      <c r="I103" s="4"/>
      <c r="J103" s="24" t="s">
        <v>58</v>
      </c>
      <c r="K103" s="27" t="s">
        <v>37</v>
      </c>
      <c r="L103" s="4"/>
      <c r="M103" s="4"/>
      <c r="N103" s="4"/>
      <c r="O103" s="4"/>
      <c r="P103" s="4"/>
      <c r="Q103" s="4"/>
      <c r="R103" s="4">
        <v>7.7</v>
      </c>
      <c r="S103" s="4">
        <v>3</v>
      </c>
      <c r="T103" s="4">
        <v>12.9</v>
      </c>
      <c r="U103" s="4">
        <v>20.3</v>
      </c>
      <c r="V103" s="4">
        <v>71.599999999999994</v>
      </c>
      <c r="W103" s="4">
        <v>8.1</v>
      </c>
      <c r="X103" s="4">
        <v>15.9</v>
      </c>
      <c r="Y103" s="4">
        <v>20.5</v>
      </c>
      <c r="Z103" s="28">
        <v>1.26</v>
      </c>
      <c r="AA103" s="4">
        <v>10.6</v>
      </c>
      <c r="AB103" s="4">
        <v>1.6</v>
      </c>
      <c r="AC103" s="4">
        <v>11.5</v>
      </c>
      <c r="AD103" s="4"/>
      <c r="AE103" s="4">
        <v>90</v>
      </c>
      <c r="AF103" s="4"/>
      <c r="AG103" s="5">
        <v>6.629</v>
      </c>
      <c r="AH103" s="5"/>
      <c r="AI103" s="4" t="inlineStr">
        <is>
          <t>Non</t>
        </is>
      </c>
    </row>
    <row r="104" spans="1:37" x14ac:dyDescent="0.3">
      <c r="A104" s="3">
        <v>100</v>
      </c>
      <c r="B104" s="3" t="s">
        <v>209</v>
      </c>
      <c r="C104" s="3" t="s">
        <v>202</v>
      </c>
      <c r="D104" s="3">
        <v>2018</v>
      </c>
      <c r="E104" s="11">
        <v>43232</v>
      </c>
      <c r="F104" s="4" t="s">
        <v>59</v>
      </c>
      <c r="G104" s="4" t="s">
        <v>42</v>
      </c>
      <c r="H104" s="4">
        <v>37</v>
      </c>
      <c r="I104" s="4"/>
      <c r="J104" s="24" t="s">
        <v>58</v>
      </c>
      <c r="K104" s="27" t="s">
        <v>37</v>
      </c>
      <c r="L104" s="4"/>
      <c r="M104" s="4"/>
      <c r="N104" s="4"/>
      <c r="O104" s="4"/>
      <c r="P104" s="4"/>
      <c r="Q104" s="4"/>
      <c r="R104" s="4">
        <v>7.7</v>
      </c>
      <c r="S104" s="4">
        <v>3</v>
      </c>
      <c r="T104" s="4">
        <v>12.9</v>
      </c>
      <c r="U104" s="4">
        <v>20.3</v>
      </c>
      <c r="V104" s="4">
        <v>71.599999999999994</v>
      </c>
      <c r="W104" s="4">
        <v>8.1</v>
      </c>
      <c r="X104" s="4">
        <v>15.9</v>
      </c>
      <c r="Y104" s="4">
        <v>20.5</v>
      </c>
      <c r="Z104" s="28">
        <v>1.26</v>
      </c>
      <c r="AA104" s="4">
        <v>12.9</v>
      </c>
      <c r="AB104" s="4">
        <v>1.9</v>
      </c>
      <c r="AC104" s="4">
        <v>5</v>
      </c>
      <c r="AD104" s="4"/>
      <c r="AE104" s="4">
        <v>85</v>
      </c>
      <c r="AF104" s="4"/>
      <c r="AG104" s="5">
        <v>4.906</v>
      </c>
      <c r="AH104" s="5"/>
      <c r="AI104" s="4" t="inlineStr">
        <is>
          <t>Non</t>
        </is>
      </c>
    </row>
    <row r="105" spans="1:37" x14ac:dyDescent="0.3">
      <c r="A105" s="3">
        <v>101</v>
      </c>
      <c r="B105" s="3" t="s">
        <v>209</v>
      </c>
      <c r="C105" s="3" t="s">
        <v>202</v>
      </c>
      <c r="D105" s="3">
        <v>2019</v>
      </c>
      <c r="E105" s="11">
        <v>43541</v>
      </c>
      <c r="F105" s="4" t="s">
        <v>59</v>
      </c>
      <c r="G105" s="4" t="s">
        <v>42</v>
      </c>
      <c r="H105" s="13">
        <v>57</v>
      </c>
      <c r="I105" s="4"/>
      <c r="J105" s="24" t="s">
        <v>58</v>
      </c>
      <c r="K105" s="27" t="s">
        <v>37</v>
      </c>
      <c r="L105" s="4"/>
      <c r="M105" s="4"/>
      <c r="N105" s="4"/>
      <c r="O105" s="4"/>
      <c r="P105" s="4"/>
      <c r="Q105" s="4"/>
      <c r="R105" s="4">
        <v>7.7</v>
      </c>
      <c r="S105" s="4">
        <v>3</v>
      </c>
      <c r="T105" s="4">
        <v>12.9</v>
      </c>
      <c r="U105" s="4">
        <v>20.3</v>
      </c>
      <c r="V105" s="4">
        <v>71.599999999999994</v>
      </c>
      <c r="W105" s="4">
        <v>8.1</v>
      </c>
      <c r="X105" s="4">
        <v>15.9</v>
      </c>
      <c r="Y105" s="4">
        <v>20.5</v>
      </c>
      <c r="Z105" s="28">
        <v>1.26</v>
      </c>
      <c r="AA105" s="4">
        <v>6.2</v>
      </c>
      <c r="AB105" s="4">
        <v>5</v>
      </c>
      <c r="AC105" s="4">
        <v>3.5</v>
      </c>
      <c r="AD105" s="4"/>
      <c r="AE105" s="4">
        <v>84</v>
      </c>
      <c r="AF105" s="4"/>
      <c r="AG105" s="5">
        <v>7.558</v>
      </c>
      <c r="AH105" s="5"/>
      <c r="AI105" s="4" t="inlineStr">
        <is>
          <t>Non</t>
        </is>
      </c>
    </row>
    <row r="106" spans="1:37" x14ac:dyDescent="0.3">
      <c r="A106" s="3">
        <v>102</v>
      </c>
      <c r="B106" s="3" t="s">
        <v>209</v>
      </c>
      <c r="C106" s="3" t="s">
        <v>202</v>
      </c>
      <c r="D106" s="3">
        <v>2019</v>
      </c>
      <c r="E106" s="11">
        <v>43581</v>
      </c>
      <c r="F106" s="8" t="s">
        <v>59</v>
      </c>
      <c r="G106" s="4" t="s">
        <v>42</v>
      </c>
      <c r="H106" s="4">
        <v>39</v>
      </c>
      <c r="I106" s="4"/>
      <c r="J106" s="24" t="s">
        <v>58</v>
      </c>
      <c r="K106" s="27" t="s">
        <v>37</v>
      </c>
      <c r="L106" s="4"/>
      <c r="M106" s="4"/>
      <c r="N106" s="4"/>
      <c r="O106" s="4"/>
      <c r="P106" s="4"/>
      <c r="Q106" s="4"/>
      <c r="R106" s="4">
        <v>7.7</v>
      </c>
      <c r="S106" s="4">
        <v>3</v>
      </c>
      <c r="T106" s="4">
        <v>12.9</v>
      </c>
      <c r="U106" s="4">
        <v>20.3</v>
      </c>
      <c r="V106" s="4">
        <v>71.599999999999994</v>
      </c>
      <c r="W106" s="4">
        <v>8.1</v>
      </c>
      <c r="X106" s="4">
        <v>15.9</v>
      </c>
      <c r="Y106" s="4">
        <v>20.5</v>
      </c>
      <c r="Z106" s="28">
        <v>1.26</v>
      </c>
      <c r="AA106" s="4">
        <v>11.4</v>
      </c>
      <c r="AB106" s="4">
        <v>3.2</v>
      </c>
      <c r="AC106" s="4">
        <v>1</v>
      </c>
      <c r="AD106" s="4"/>
      <c r="AE106" s="4">
        <v>75</v>
      </c>
      <c r="AF106" s="4"/>
      <c r="AG106" s="5">
        <v>5.171</v>
      </c>
      <c r="AH106" s="5"/>
      <c r="AI106" s="4" t="inlineStr">
        <is>
          <t>Non</t>
        </is>
      </c>
    </row>
    <row r="107" spans="1:37" x14ac:dyDescent="0.3">
      <c r="A107" s="3">
        <v>103</v>
      </c>
      <c r="B107" s="3" t="s">
        <v>209</v>
      </c>
      <c r="C107" s="3" t="s">
        <v>202</v>
      </c>
      <c r="D107" s="3">
        <v>2020</v>
      </c>
      <c r="E107" s="11">
        <v>43879</v>
      </c>
      <c r="F107" s="13" t="s">
        <v>70</v>
      </c>
      <c r="G107" s="4" t="s">
        <v>42</v>
      </c>
      <c r="H107" s="4">
        <v>99</v>
      </c>
      <c r="I107" s="4"/>
      <c r="J107" s="24" t="s">
        <v>58</v>
      </c>
      <c r="K107" s="27" t="s">
        <v>37</v>
      </c>
      <c r="L107" s="4"/>
      <c r="M107" s="4"/>
      <c r="N107" s="4"/>
      <c r="O107" s="4"/>
      <c r="P107" s="4"/>
      <c r="Q107" s="4"/>
      <c r="R107" s="4">
        <v>7.7</v>
      </c>
      <c r="S107" s="4">
        <v>3</v>
      </c>
      <c r="T107" s="4">
        <v>12.9</v>
      </c>
      <c r="U107" s="4">
        <v>20.3</v>
      </c>
      <c r="V107" s="4">
        <v>71.599999999999994</v>
      </c>
      <c r="W107" s="4">
        <v>8.1</v>
      </c>
      <c r="X107" s="4">
        <v>15.9</v>
      </c>
      <c r="Y107" s="4">
        <v>20.5</v>
      </c>
      <c r="Z107" s="28">
        <v>1.26</v>
      </c>
      <c r="AA107" s="4">
        <v>7</v>
      </c>
      <c r="AB107" s="4">
        <v>4.9000000000000004</v>
      </c>
      <c r="AC107" s="4">
        <v>5.5</v>
      </c>
      <c r="AD107" s="4"/>
      <c r="AE107" s="4">
        <v>77</v>
      </c>
      <c r="AF107" s="4"/>
      <c r="AG107" s="5">
        <v>13.126</v>
      </c>
      <c r="AH107" s="5"/>
      <c r="AI107" s="4" t="inlineStr">
        <is>
          <t>Non</t>
        </is>
      </c>
    </row>
    <row r="108" spans="1:37" x14ac:dyDescent="0.3">
      <c r="A108" s="3">
        <v>104</v>
      </c>
      <c r="B108" s="3" t="s">
        <v>209</v>
      </c>
      <c r="C108" s="3" t="s">
        <v>202</v>
      </c>
      <c r="D108" s="3">
        <v>2020</v>
      </c>
      <c r="E108" s="11">
        <v>43898</v>
      </c>
      <c r="F108" s="4" t="s">
        <v>73</v>
      </c>
      <c r="G108" s="4" t="s">
        <v>62</v>
      </c>
      <c r="H108" s="4"/>
      <c r="I108" s="4"/>
      <c r="J108" s="24" t="s">
        <v>58</v>
      </c>
      <c r="K108" s="27" t="s">
        <v>37</v>
      </c>
      <c r="L108" s="4"/>
      <c r="M108" s="4"/>
      <c r="N108" s="4"/>
      <c r="O108" s="4"/>
      <c r="P108" s="4"/>
      <c r="Q108" s="4"/>
      <c r="R108" s="4">
        <v>7.7</v>
      </c>
      <c r="S108" s="4">
        <v>3</v>
      </c>
      <c r="T108" s="4">
        <v>12.9</v>
      </c>
      <c r="U108" s="4">
        <v>20.3</v>
      </c>
      <c r="V108" s="4">
        <v>71.599999999999994</v>
      </c>
      <c r="W108" s="4">
        <v>8.1</v>
      </c>
      <c r="X108" s="4">
        <v>15.9</v>
      </c>
      <c r="Y108" s="4">
        <v>20.5</v>
      </c>
      <c r="Z108" s="28">
        <v>1.26</v>
      </c>
      <c r="AA108" s="4">
        <v>8</v>
      </c>
      <c r="AB108" s="4">
        <v>4.7</v>
      </c>
      <c r="AC108" s="4">
        <v>3</v>
      </c>
      <c r="AD108" s="4"/>
      <c r="AE108" s="4">
        <v>88</v>
      </c>
      <c r="AF108" s="4"/>
      <c r="AG108" s="5">
        <v>0.0</v>
      </c>
      <c r="AH108" s="5"/>
      <c r="AI108" s="4" t="inlineStr">
        <is>
          <t>Non</t>
        </is>
      </c>
    </row>
    <row r="109" spans="1:37" x14ac:dyDescent="0.3">
      <c r="A109" s="3">
        <v>105</v>
      </c>
      <c r="B109" s="3" t="s">
        <v>209</v>
      </c>
      <c r="C109" s="3" t="s">
        <v>202</v>
      </c>
      <c r="D109" s="3">
        <v>2020</v>
      </c>
      <c r="E109" s="11">
        <v>43899</v>
      </c>
      <c r="F109" s="4" t="s">
        <v>78</v>
      </c>
      <c r="G109" s="4" t="s">
        <v>42</v>
      </c>
      <c r="H109" s="4">
        <v>56</v>
      </c>
      <c r="I109" s="4"/>
      <c r="J109" s="24" t="s">
        <v>58</v>
      </c>
      <c r="K109" s="27" t="s">
        <v>37</v>
      </c>
      <c r="L109" s="4"/>
      <c r="M109" s="4"/>
      <c r="N109" s="4"/>
      <c r="O109" s="4"/>
      <c r="P109" s="4"/>
      <c r="Q109" s="4"/>
      <c r="R109" s="4">
        <v>7.7</v>
      </c>
      <c r="S109" s="4">
        <v>3</v>
      </c>
      <c r="T109" s="4">
        <v>12.9</v>
      </c>
      <c r="U109" s="4">
        <v>20.3</v>
      </c>
      <c r="V109" s="4">
        <v>71.599999999999994</v>
      </c>
      <c r="W109" s="4">
        <v>8.1</v>
      </c>
      <c r="X109" s="4">
        <v>15.9</v>
      </c>
      <c r="Y109" s="4">
        <v>20.5</v>
      </c>
      <c r="Z109" s="28">
        <v>1.26</v>
      </c>
      <c r="AA109" s="4">
        <v>7.4</v>
      </c>
      <c r="AB109" s="4">
        <v>4.2</v>
      </c>
      <c r="AC109" s="4">
        <v>3</v>
      </c>
      <c r="AD109" s="4"/>
      <c r="AE109" s="4">
        <v>79</v>
      </c>
      <c r="AF109" s="4"/>
      <c r="AG109" s="5">
        <v>7.425</v>
      </c>
      <c r="AH109" s="5"/>
      <c r="AI109" s="4" t="inlineStr">
        <is>
          <t>Non</t>
        </is>
      </c>
    </row>
    <row r="110" spans="1:37" x14ac:dyDescent="0.3">
      <c r="A110" s="3">
        <v>106</v>
      </c>
      <c r="B110" s="3" t="s">
        <v>209</v>
      </c>
      <c r="C110" s="3" t="s">
        <v>202</v>
      </c>
      <c r="D110" s="3">
        <v>2021</v>
      </c>
      <c r="E110" s="11">
        <v>44265</v>
      </c>
      <c r="F110" s="4" t="s">
        <v>79</v>
      </c>
      <c r="G110" s="4" t="s">
        <v>42</v>
      </c>
      <c r="H110" s="4">
        <v>94</v>
      </c>
      <c r="I110" s="4"/>
      <c r="J110" s="24" t="s">
        <v>58</v>
      </c>
      <c r="K110" s="27" t="s">
        <v>37</v>
      </c>
      <c r="L110" s="4"/>
      <c r="M110" s="4"/>
      <c r="N110" s="4"/>
      <c r="O110" s="4"/>
      <c r="P110" s="4"/>
      <c r="Q110" s="4"/>
      <c r="R110" s="4">
        <v>7.7</v>
      </c>
      <c r="S110" s="4">
        <v>3</v>
      </c>
      <c r="T110" s="4">
        <v>12.9</v>
      </c>
      <c r="U110" s="4">
        <v>20.3</v>
      </c>
      <c r="V110" s="4">
        <v>71.599999999999994</v>
      </c>
      <c r="W110" s="4">
        <v>8.1</v>
      </c>
      <c r="X110" s="4">
        <v>15.9</v>
      </c>
      <c r="Y110" s="4">
        <v>20.5</v>
      </c>
      <c r="Z110" s="28">
        <v>1.32</v>
      </c>
      <c r="AA110" s="4">
        <v>5.9</v>
      </c>
      <c r="AB110" s="4">
        <v>4.5999999999999996</v>
      </c>
      <c r="AC110" s="4">
        <v>1</v>
      </c>
      <c r="AD110" s="4"/>
      <c r="AE110" s="4">
        <v>78</v>
      </c>
      <c r="AF110" s="4"/>
      <c r="AG110" s="5">
        <v>12.463</v>
      </c>
      <c r="AH110" s="5"/>
      <c r="AI110" s="4" t="inlineStr">
        <is>
          <t>Non</t>
        </is>
      </c>
    </row>
    <row r="111" spans="1:37" x14ac:dyDescent="0.3">
      <c r="A111" s="3">
        <v>107</v>
      </c>
      <c r="B111" s="3" t="s">
        <v>209</v>
      </c>
      <c r="C111" s="3" t="s">
        <v>202</v>
      </c>
      <c r="D111" s="3">
        <v>2021</v>
      </c>
      <c r="E111" s="11">
        <v>44322</v>
      </c>
      <c r="F111" s="4" t="s">
        <v>59</v>
      </c>
      <c r="G111" s="4" t="s">
        <v>42</v>
      </c>
      <c r="H111" s="4">
        <v>58.5</v>
      </c>
      <c r="I111" s="4"/>
      <c r="J111" s="24" t="s">
        <v>58</v>
      </c>
      <c r="K111" s="27" t="s">
        <v>37</v>
      </c>
      <c r="L111" s="4"/>
      <c r="M111" s="4"/>
      <c r="N111" s="4"/>
      <c r="O111" s="4"/>
      <c r="P111" s="4"/>
      <c r="Q111" s="4"/>
      <c r="R111" s="4">
        <v>7.7</v>
      </c>
      <c r="S111" s="4">
        <v>3</v>
      </c>
      <c r="T111" s="4">
        <v>12.9</v>
      </c>
      <c r="U111" s="4">
        <v>20.3</v>
      </c>
      <c r="V111" s="4">
        <v>71.599999999999994</v>
      </c>
      <c r="W111" s="4">
        <v>8.1</v>
      </c>
      <c r="X111" s="4">
        <v>15.9</v>
      </c>
      <c r="Y111" s="4">
        <v>20.5</v>
      </c>
      <c r="Z111" s="28">
        <v>1.32</v>
      </c>
      <c r="AA111" s="4">
        <v>7.5</v>
      </c>
      <c r="AB111" s="4">
        <v>1.8</v>
      </c>
      <c r="AC111" s="4">
        <v>6.5</v>
      </c>
      <c r="AD111" s="4"/>
      <c r="AE111" s="4">
        <v>89</v>
      </c>
      <c r="AF111" s="4"/>
      <c r="AG111" s="5">
        <v>7.756</v>
      </c>
      <c r="AH111" s="5"/>
      <c r="AI111" s="4" t="inlineStr">
        <is>
          <t>Non</t>
        </is>
      </c>
    </row>
    <row r="112" spans="1:37" x14ac:dyDescent="0.3">
      <c r="A112" s="3">
        <v>108</v>
      </c>
      <c r="B112" s="3" t="s">
        <v>209</v>
      </c>
      <c r="C112" s="3" t="s">
        <v>202</v>
      </c>
      <c r="D112" s="3">
        <v>2022</v>
      </c>
      <c r="E112" s="11">
        <v>44672</v>
      </c>
      <c r="F112" s="4" t="s">
        <v>59</v>
      </c>
      <c r="G112" s="4" t="s">
        <v>42</v>
      </c>
      <c r="H112" s="13">
        <v>58</v>
      </c>
      <c r="I112" s="4"/>
      <c r="J112" s="24" t="s">
        <v>58</v>
      </c>
      <c r="K112" s="27" t="s">
        <v>37</v>
      </c>
      <c r="L112" s="4"/>
      <c r="M112" s="4"/>
      <c r="N112" s="4"/>
      <c r="O112" s="4"/>
      <c r="P112" s="4"/>
      <c r="Q112" s="4"/>
      <c r="R112" s="4">
        <v>7.7</v>
      </c>
      <c r="S112" s="4">
        <v>3</v>
      </c>
      <c r="T112" s="4">
        <v>12.9</v>
      </c>
      <c r="U112" s="4">
        <v>20.3</v>
      </c>
      <c r="V112" s="4">
        <v>71.599999999999994</v>
      </c>
      <c r="W112" s="4">
        <v>8.1</v>
      </c>
      <c r="X112" s="4">
        <v>15.9</v>
      </c>
      <c r="Y112" s="4">
        <v>20.5</v>
      </c>
      <c r="Z112" s="28">
        <v>1.32</v>
      </c>
      <c r="AA112" s="4">
        <v>12.7</v>
      </c>
      <c r="AB112" s="4">
        <v>2.2999999999999998</v>
      </c>
      <c r="AC112" s="4">
        <v>0</v>
      </c>
      <c r="AD112" s="4"/>
      <c r="AE112" s="4">
        <v>57</v>
      </c>
      <c r="AF112" s="4"/>
      <c r="AG112" s="5">
        <v>7.69</v>
      </c>
      <c r="AH112" s="5"/>
      <c r="AI112" s="4" t="inlineStr">
        <is>
          <t>Non</t>
        </is>
      </c>
    </row>
    <row r="113" spans="1:37" x14ac:dyDescent="0.3">
      <c r="A113" s="3">
        <v>109</v>
      </c>
      <c r="B113" s="3" t="s">
        <v>209</v>
      </c>
      <c r="C113" s="3" t="s">
        <v>202</v>
      </c>
      <c r="D113" s="3">
        <v>2022</v>
      </c>
      <c r="E113" s="11">
        <v>44700</v>
      </c>
      <c r="F113" s="4" t="s">
        <v>48</v>
      </c>
      <c r="G113" s="4" t="s">
        <v>48</v>
      </c>
      <c r="H113" s="4">
        <v>34</v>
      </c>
      <c r="I113" s="4"/>
      <c r="J113" s="24" t="s">
        <v>55</v>
      </c>
      <c r="K113" s="27" t="s">
        <v>37</v>
      </c>
      <c r="L113" s="4"/>
      <c r="M113" s="4"/>
      <c r="N113" s="4"/>
      <c r="O113" s="4"/>
      <c r="P113" s="4"/>
      <c r="Q113" s="4"/>
      <c r="R113" s="4">
        <v>7.7</v>
      </c>
      <c r="S113" s="4">
        <v>3</v>
      </c>
      <c r="T113" s="4">
        <v>12.9</v>
      </c>
      <c r="U113" s="4">
        <v>20.3</v>
      </c>
      <c r="V113" s="4">
        <v>71.599999999999994</v>
      </c>
      <c r="W113" s="4">
        <v>8.1</v>
      </c>
      <c r="X113" s="4">
        <v>15.9</v>
      </c>
      <c r="Y113" s="4">
        <v>20.5</v>
      </c>
      <c r="Z113" s="28">
        <v>1.32</v>
      </c>
      <c r="AA113" s="4">
        <v>20.100000000000001</v>
      </c>
      <c r="AB113" s="4">
        <v>2.2999999999999998</v>
      </c>
      <c r="AC113" s="4">
        <v>0.5</v>
      </c>
      <c r="AD113" s="4"/>
      <c r="AE113" s="4">
        <v>71</v>
      </c>
      <c r="AF113" s="4"/>
      <c r="AG113" s="5">
        <v>5.768</v>
      </c>
      <c r="AH113" s="5"/>
      <c r="AI113" s="4" t="inlineStr">
        <is>
          <t>Non</t>
        </is>
      </c>
    </row>
    <row r="114" spans="1:37" x14ac:dyDescent="0.3">
      <c r="A114" s="3">
        <v>110</v>
      </c>
      <c r="B114" s="3" t="s">
        <v>209</v>
      </c>
      <c r="C114" s="3" t="s">
        <v>202</v>
      </c>
      <c r="D114" s="3">
        <v>2023</v>
      </c>
      <c r="E114" s="11">
        <v>44991</v>
      </c>
      <c r="F114" s="4" t="s">
        <v>59</v>
      </c>
      <c r="G114" s="4" t="s">
        <v>42</v>
      </c>
      <c r="H114" s="13">
        <v>60</v>
      </c>
      <c r="I114" s="4"/>
      <c r="J114" s="24" t="s">
        <v>58</v>
      </c>
      <c r="K114" s="27" t="s">
        <v>37</v>
      </c>
      <c r="L114" s="4"/>
      <c r="M114" s="4"/>
      <c r="N114" s="4"/>
      <c r="O114" s="4"/>
      <c r="P114" s="4"/>
      <c r="Q114" s="4"/>
      <c r="R114" s="4">
        <v>7.7</v>
      </c>
      <c r="S114" s="4">
        <v>3</v>
      </c>
      <c r="T114" s="4">
        <v>12.9</v>
      </c>
      <c r="U114" s="4">
        <v>20.3</v>
      </c>
      <c r="V114" s="4">
        <v>71.599999999999994</v>
      </c>
      <c r="W114" s="4">
        <v>8.1</v>
      </c>
      <c r="X114" s="4">
        <v>15.9</v>
      </c>
      <c r="Y114" s="4">
        <v>20.5</v>
      </c>
      <c r="Z114" s="28">
        <v>1.32</v>
      </c>
      <c r="AA114" s="4">
        <v>4.5999999999999996</v>
      </c>
      <c r="AB114" s="4">
        <v>2.7</v>
      </c>
      <c r="AC114" s="4">
        <v>0</v>
      </c>
      <c r="AD114" s="4"/>
      <c r="AE114" s="4">
        <v>75</v>
      </c>
      <c r="AF114" s="4"/>
      <c r="AG114" s="5">
        <v>7.955</v>
      </c>
      <c r="AH114" s="5"/>
      <c r="AI114" s="4" t="inlineStr">
        <is>
          <t>Non</t>
        </is>
      </c>
    </row>
    <row r="115" spans="1:37" x14ac:dyDescent="0.3">
      <c r="A115" s="3">
        <v>111</v>
      </c>
      <c r="B115" s="3" t="s">
        <v>209</v>
      </c>
      <c r="C115" s="3" t="s">
        <v>202</v>
      </c>
      <c r="D115" s="3">
        <v>2023</v>
      </c>
      <c r="E115" s="11">
        <v>44991</v>
      </c>
      <c r="F115" s="4" t="s">
        <v>72</v>
      </c>
      <c r="G115" s="4" t="s">
        <v>54</v>
      </c>
      <c r="H115" s="4">
        <v>8.5</v>
      </c>
      <c r="I115" s="4"/>
      <c r="J115" s="24" t="s">
        <v>58</v>
      </c>
      <c r="K115" s="27" t="s">
        <v>37</v>
      </c>
      <c r="L115" s="4"/>
      <c r="M115" s="4"/>
      <c r="N115" s="4"/>
      <c r="O115" s="4"/>
      <c r="P115" s="4"/>
      <c r="Q115" s="4"/>
      <c r="R115" s="4">
        <v>7.7</v>
      </c>
      <c r="S115" s="4">
        <v>3</v>
      </c>
      <c r="T115" s="4">
        <v>12.9</v>
      </c>
      <c r="U115" s="4">
        <v>20.3</v>
      </c>
      <c r="V115" s="4">
        <v>71.599999999999994</v>
      </c>
      <c r="W115" s="4">
        <v>8.1</v>
      </c>
      <c r="X115" s="4">
        <v>15.9</v>
      </c>
      <c r="Y115" s="4">
        <v>20.5</v>
      </c>
      <c r="Z115" s="28">
        <v>1.32</v>
      </c>
      <c r="AA115" s="4">
        <v>4.5999999999999996</v>
      </c>
      <c r="AB115" s="4">
        <v>2.7</v>
      </c>
      <c r="AC115" s="4">
        <v>0</v>
      </c>
      <c r="AD115" s="4"/>
      <c r="AE115" s="4">
        <v>75</v>
      </c>
      <c r="AF115" s="4"/>
      <c r="AG115" s="5">
        <v>1.309</v>
      </c>
      <c r="AH115" s="5"/>
      <c r="AI115" s="4" t="inlineStr">
        <is>
          <t>Non</t>
        </is>
      </c>
    </row>
    <row r="116" spans="1:37" x14ac:dyDescent="0.3">
      <c r="A116" s="3">
        <v>112</v>
      </c>
      <c r="B116" s="3" t="s">
        <v>209</v>
      </c>
      <c r="C116" s="3" t="s">
        <v>202</v>
      </c>
      <c r="D116" s="3">
        <v>2023</v>
      </c>
      <c r="E116" s="11">
        <v>45038</v>
      </c>
      <c r="F116" s="4" t="s">
        <v>59</v>
      </c>
      <c r="G116" s="4" t="s">
        <v>42</v>
      </c>
      <c r="H116" s="4">
        <v>43</v>
      </c>
      <c r="I116" s="4"/>
      <c r="J116" s="24" t="s">
        <v>58</v>
      </c>
      <c r="K116" s="27" t="s">
        <v>37</v>
      </c>
      <c r="L116" s="4"/>
      <c r="M116" s="4"/>
      <c r="N116" s="4"/>
      <c r="O116" s="4"/>
      <c r="P116" s="4"/>
      <c r="Q116" s="4"/>
      <c r="R116" s="4">
        <v>7.7</v>
      </c>
      <c r="S116" s="4">
        <v>3</v>
      </c>
      <c r="T116" s="4">
        <v>12.9</v>
      </c>
      <c r="U116" s="4">
        <v>20.3</v>
      </c>
      <c r="V116" s="4">
        <v>71.599999999999994</v>
      </c>
      <c r="W116" s="4">
        <v>8.1</v>
      </c>
      <c r="X116" s="4">
        <v>15.9</v>
      </c>
      <c r="Y116" s="4">
        <v>20.5</v>
      </c>
      <c r="Z116" s="28">
        <v>1.32</v>
      </c>
      <c r="AA116" s="4">
        <v>10.5</v>
      </c>
      <c r="AB116" s="4">
        <v>2.2000000000000002</v>
      </c>
      <c r="AC116" s="4">
        <v>4</v>
      </c>
      <c r="AD116" s="4"/>
      <c r="AE116" s="4">
        <v>78</v>
      </c>
      <c r="AF116" s="4"/>
      <c r="AG116" s="5">
        <v>5.701</v>
      </c>
      <c r="AH116" s="5"/>
      <c r="AI116" s="4" t="inlineStr">
        <is>
          <t>Non</t>
        </is>
      </c>
    </row>
    <row r="117" spans="1:37" x14ac:dyDescent="0.3">
      <c r="A117" s="3">
        <v>113</v>
      </c>
      <c r="B117" s="3" t="s">
        <v>209</v>
      </c>
      <c r="C117" s="3" t="s">
        <v>202</v>
      </c>
      <c r="D117" s="3">
        <v>2024</v>
      </c>
      <c r="E117" s="11">
        <v>45358</v>
      </c>
      <c r="F117" s="4" t="s">
        <v>59</v>
      </c>
      <c r="G117" s="4" t="s">
        <v>42</v>
      </c>
      <c r="H117" s="4">
        <v>39</v>
      </c>
      <c r="I117" s="4"/>
      <c r="J117" s="24" t="s">
        <v>58</v>
      </c>
      <c r="K117" s="27" t="s">
        <v>37</v>
      </c>
      <c r="L117" s="4"/>
      <c r="M117" s="4"/>
      <c r="N117" s="4"/>
      <c r="O117" s="4"/>
      <c r="P117" s="4"/>
      <c r="Q117" s="4"/>
      <c r="R117" s="4">
        <v>7.7</v>
      </c>
      <c r="S117" s="4">
        <v>3</v>
      </c>
      <c r="T117" s="4">
        <v>12.9</v>
      </c>
      <c r="U117" s="4">
        <v>20.3</v>
      </c>
      <c r="V117" s="4">
        <v>71.599999999999994</v>
      </c>
      <c r="W117" s="4">
        <v>8.1</v>
      </c>
      <c r="X117" s="4">
        <v>15.9</v>
      </c>
      <c r="Y117" s="4">
        <v>20.5</v>
      </c>
      <c r="Z117" s="28">
        <v>1.32</v>
      </c>
      <c r="AA117" s="4">
        <v>6.8</v>
      </c>
      <c r="AB117" s="4">
        <v>2.6</v>
      </c>
      <c r="AC117" s="4">
        <v>0</v>
      </c>
      <c r="AD117" s="4"/>
      <c r="AE117" s="4">
        <v>80</v>
      </c>
      <c r="AF117" s="4"/>
      <c r="AG117" s="5">
        <v>5.171</v>
      </c>
      <c r="AH117" s="5"/>
      <c r="AI117" s="4" t="inlineStr">
        <is>
          <t>Non</t>
        </is>
      </c>
    </row>
    <row r="118" spans="1:37" x14ac:dyDescent="0.3">
      <c r="A118" s="3">
        <v>114</v>
      </c>
      <c r="B118" s="3" t="s">
        <v>209</v>
      </c>
      <c r="C118" s="3" t="s">
        <v>202</v>
      </c>
      <c r="D118" s="3">
        <v>2024</v>
      </c>
      <c r="E118" s="11">
        <v>45372</v>
      </c>
      <c r="F118" s="4" t="s">
        <v>67</v>
      </c>
      <c r="G118" s="4" t="s">
        <v>51</v>
      </c>
      <c r="H118" s="4">
        <v>36</v>
      </c>
      <c r="I118" s="4">
        <f>H118*0.71</f>
        <v>25.56</v>
      </c>
      <c r="J118" s="24" t="s">
        <v>55</v>
      </c>
      <c r="K118" s="27" t="s">
        <v>37</v>
      </c>
      <c r="L118" s="4"/>
      <c r="M118" s="4"/>
      <c r="N118" s="4"/>
      <c r="O118" s="4"/>
      <c r="P118" s="4"/>
      <c r="Q118" s="4"/>
      <c r="R118" s="4">
        <v>7.7</v>
      </c>
      <c r="S118" s="4">
        <v>3</v>
      </c>
      <c r="T118" s="4">
        <v>12.9</v>
      </c>
      <c r="U118" s="4">
        <v>20.3</v>
      </c>
      <c r="V118" s="4">
        <v>71.599999999999994</v>
      </c>
      <c r="W118" s="4">
        <v>8.1</v>
      </c>
      <c r="X118" s="4">
        <v>15.9</v>
      </c>
      <c r="Y118" s="4">
        <v>20.5</v>
      </c>
      <c r="Z118" s="28">
        <v>1.32</v>
      </c>
      <c r="AA118" s="4">
        <v>12.6</v>
      </c>
      <c r="AB118" s="4">
        <v>1</v>
      </c>
      <c r="AC118" s="4">
        <v>0.5</v>
      </c>
      <c r="AD118" s="4"/>
      <c r="AE118" s="4">
        <v>75</v>
      </c>
      <c r="AF118" s="4"/>
      <c r="AG118" s="5">
        <v>5.544</v>
      </c>
      <c r="AH118" s="5"/>
      <c r="AI118" s="4" t="inlineStr">
        <is>
          <t>Non</t>
        </is>
      </c>
    </row>
    <row r="119" spans="1:37" x14ac:dyDescent="0.3">
      <c r="A119" s="3">
        <v>115</v>
      </c>
      <c r="B119" s="3" t="s">
        <v>209</v>
      </c>
      <c r="C119" s="3" t="s">
        <v>202</v>
      </c>
      <c r="D119" s="3">
        <v>2024</v>
      </c>
      <c r="E119" s="11">
        <v>45376</v>
      </c>
      <c r="F119" s="4" t="s">
        <v>59</v>
      </c>
      <c r="G119" s="4" t="s">
        <v>42</v>
      </c>
      <c r="H119" s="4">
        <v>39</v>
      </c>
      <c r="I119" s="4"/>
      <c r="J119" s="24" t="s">
        <v>58</v>
      </c>
      <c r="K119" s="27" t="s">
        <v>37</v>
      </c>
      <c r="L119" s="4"/>
      <c r="M119" s="4"/>
      <c r="N119" s="4"/>
      <c r="O119" s="4"/>
      <c r="P119" s="4"/>
      <c r="Q119" s="4"/>
      <c r="R119" s="4">
        <v>7.7</v>
      </c>
      <c r="S119" s="4">
        <v>3</v>
      </c>
      <c r="T119" s="4">
        <v>12.9</v>
      </c>
      <c r="U119" s="4">
        <v>20.3</v>
      </c>
      <c r="V119" s="4">
        <v>71.599999999999994</v>
      </c>
      <c r="W119" s="4">
        <v>8.1</v>
      </c>
      <c r="X119" s="4">
        <v>15.9</v>
      </c>
      <c r="Y119" s="4">
        <v>20.5</v>
      </c>
      <c r="Z119" s="28">
        <v>1.32</v>
      </c>
      <c r="AA119" s="4">
        <v>7.6</v>
      </c>
      <c r="AB119" s="4">
        <v>2.7</v>
      </c>
      <c r="AC119" s="4">
        <v>0.5</v>
      </c>
      <c r="AD119" s="4"/>
      <c r="AE119" s="4">
        <v>71</v>
      </c>
      <c r="AF119" s="4"/>
      <c r="AG119" s="5">
        <v>5.171</v>
      </c>
      <c r="AH119" s="5"/>
      <c r="AI119" s="4" t="inlineStr">
        <is>
          <t>Non</t>
        </is>
      </c>
    </row>
    <row r="120" spans="1:37" x14ac:dyDescent="0.3">
      <c r="A120" s="3">
        <v>116</v>
      </c>
      <c r="B120" s="3" t="s">
        <v>209</v>
      </c>
      <c r="C120" s="3" t="s">
        <v>202</v>
      </c>
      <c r="D120" s="3">
        <v>2024</v>
      </c>
      <c r="E120" s="11">
        <v>45415</v>
      </c>
      <c r="F120" s="4" t="s">
        <v>77</v>
      </c>
      <c r="G120" s="4" t="s">
        <v>60</v>
      </c>
      <c r="H120" s="4"/>
      <c r="I120" s="4"/>
      <c r="J120" s="4"/>
      <c r="K120" s="27" t="s">
        <v>37</v>
      </c>
      <c r="L120" s="4"/>
      <c r="M120" s="4"/>
      <c r="N120" s="4"/>
      <c r="O120" s="4"/>
      <c r="P120" s="4"/>
      <c r="Q120" s="4"/>
      <c r="R120" s="4">
        <v>7.7</v>
      </c>
      <c r="S120" s="4">
        <v>3</v>
      </c>
      <c r="T120" s="4">
        <v>12.9</v>
      </c>
      <c r="U120" s="4">
        <v>20.3</v>
      </c>
      <c r="V120" s="4">
        <v>71.599999999999994</v>
      </c>
      <c r="W120" s="4">
        <v>8.1</v>
      </c>
      <c r="X120" s="4">
        <v>15.9</v>
      </c>
      <c r="Y120" s="4">
        <v>20.5</v>
      </c>
      <c r="Z120" s="28">
        <v>1.32</v>
      </c>
      <c r="AA120" s="4">
        <v>11.2</v>
      </c>
      <c r="AB120" s="4">
        <v>2.6</v>
      </c>
      <c r="AC120" s="4">
        <v>0.5</v>
      </c>
      <c r="AD120" s="4"/>
      <c r="AE120" s="4">
        <v>77</v>
      </c>
      <c r="AF120" s="4"/>
      <c r="AG120" s="5">
        <v>0.0</v>
      </c>
      <c r="AH120" s="5"/>
      <c r="AI120" s="4" t="inlineStr">
        <is>
          <t>Non</t>
        </is>
      </c>
    </row>
    <row r="121" spans="1:37" x14ac:dyDescent="0.3">
      <c r="A121" s="3">
        <v>117</v>
      </c>
      <c r="B121" s="3" t="s">
        <v>209</v>
      </c>
      <c r="C121" s="3" t="s">
        <v>202</v>
      </c>
      <c r="D121" s="3">
        <v>2024</v>
      </c>
      <c r="E121" s="11">
        <v>45569</v>
      </c>
      <c r="F121" s="4" t="s">
        <v>74</v>
      </c>
      <c r="G121" s="4" t="s">
        <v>62</v>
      </c>
      <c r="H121" s="4"/>
      <c r="I121" s="4"/>
      <c r="J121" s="25" t="s">
        <v>58</v>
      </c>
      <c r="K121" s="27" t="s">
        <v>37</v>
      </c>
      <c r="L121" s="4"/>
      <c r="M121" s="4"/>
      <c r="N121" s="4"/>
      <c r="O121" s="4"/>
      <c r="P121" s="4"/>
      <c r="Q121" s="4"/>
      <c r="R121" s="4">
        <v>7.7</v>
      </c>
      <c r="S121" s="4">
        <v>3</v>
      </c>
      <c r="T121" s="4">
        <v>12.9</v>
      </c>
      <c r="U121" s="4">
        <v>20.3</v>
      </c>
      <c r="V121" s="4">
        <v>71.599999999999994</v>
      </c>
      <c r="W121" s="4">
        <v>8.1</v>
      </c>
      <c r="X121" s="4">
        <v>15.9</v>
      </c>
      <c r="Y121" s="4">
        <v>20.5</v>
      </c>
      <c r="Z121" s="28">
        <v>1.32</v>
      </c>
      <c r="AA121" s="4">
        <v>9.9</v>
      </c>
      <c r="AB121" s="4">
        <v>1.1000000000000001</v>
      </c>
      <c r="AC121" s="4">
        <v>0.5</v>
      </c>
      <c r="AD121" s="4"/>
      <c r="AE121" s="4">
        <v>80</v>
      </c>
      <c r="AF121" s="4"/>
      <c r="AG121" s="5">
        <v>0.0</v>
      </c>
      <c r="AH121" s="5"/>
      <c r="AI121" s="4" t="inlineStr">
        <is>
          <t>Non</t>
        </is>
      </c>
    </row>
    <row r="122" spans="1:37" x14ac:dyDescent="0.3">
      <c r="A122" s="3">
        <v>118</v>
      </c>
      <c r="B122" s="3" t="s">
        <v>209</v>
      </c>
      <c r="C122" s="3" t="s">
        <v>202</v>
      </c>
      <c r="D122" s="3">
        <v>2025</v>
      </c>
      <c r="E122" s="11">
        <v>45713</v>
      </c>
      <c r="F122" s="4" t="s">
        <v>61</v>
      </c>
      <c r="G122" s="4" t="s">
        <v>42</v>
      </c>
      <c r="H122" s="13">
        <v>90</v>
      </c>
      <c r="I122" s="4"/>
      <c r="J122" s="25" t="s">
        <v>58</v>
      </c>
      <c r="K122" s="27" t="s">
        <v>37</v>
      </c>
      <c r="L122" s="4"/>
      <c r="M122" s="4"/>
      <c r="N122" s="4"/>
      <c r="O122" s="4"/>
      <c r="P122" s="4"/>
      <c r="Q122" s="4"/>
      <c r="R122" s="4">
        <v>7.7</v>
      </c>
      <c r="S122" s="4">
        <v>3</v>
      </c>
      <c r="T122" s="4">
        <v>12.9</v>
      </c>
      <c r="U122" s="4">
        <v>20.3</v>
      </c>
      <c r="V122" s="4">
        <v>71.599999999999994</v>
      </c>
      <c r="W122" s="4">
        <v>8.1</v>
      </c>
      <c r="X122" s="4">
        <v>15.9</v>
      </c>
      <c r="Y122" s="4">
        <v>20.5</v>
      </c>
      <c r="Z122" s="28">
        <v>1.32</v>
      </c>
      <c r="AA122" s="4">
        <v>7.7</v>
      </c>
      <c r="AB122" s="4">
        <v>3.4</v>
      </c>
      <c r="AC122" s="4">
        <v>12.5</v>
      </c>
      <c r="AD122" s="4"/>
      <c r="AE122" s="4">
        <v>91</v>
      </c>
      <c r="AF122" s="4"/>
      <c r="AG122" s="5">
        <v>11.933</v>
      </c>
      <c r="AH122" s="5"/>
      <c r="AI122" s="4" t="inlineStr">
        <is>
          <t>Non</t>
        </is>
      </c>
    </row>
    <row r="123" spans="1:37" x14ac:dyDescent="0.3">
      <c r="A123" s="3">
        <v>119</v>
      </c>
      <c r="B123" s="3" t="s">
        <v>209</v>
      </c>
      <c r="C123" s="3" t="s">
        <v>202</v>
      </c>
      <c r="D123" s="3">
        <v>2025</v>
      </c>
      <c r="E123" s="11">
        <v>45713</v>
      </c>
      <c r="F123" s="4" t="s">
        <v>59</v>
      </c>
      <c r="G123" s="4" t="s">
        <v>42</v>
      </c>
      <c r="H123" s="13">
        <v>57</v>
      </c>
      <c r="I123" s="4"/>
      <c r="J123" s="25" t="s">
        <v>58</v>
      </c>
      <c r="K123" s="27" t="s">
        <v>37</v>
      </c>
      <c r="L123" s="4"/>
      <c r="M123" s="4"/>
      <c r="N123" s="4"/>
      <c r="O123" s="4"/>
      <c r="P123" s="4"/>
      <c r="Q123" s="4"/>
      <c r="R123" s="4">
        <v>7.7</v>
      </c>
      <c r="S123" s="4">
        <v>3</v>
      </c>
      <c r="T123" s="4">
        <v>12.9</v>
      </c>
      <c r="U123" s="4">
        <v>20.3</v>
      </c>
      <c r="V123" s="4">
        <v>71.599999999999994</v>
      </c>
      <c r="W123" s="4">
        <v>8.1</v>
      </c>
      <c r="X123" s="4">
        <v>15.9</v>
      </c>
      <c r="Y123" s="4">
        <v>20.5</v>
      </c>
      <c r="Z123" s="28">
        <v>1.32</v>
      </c>
      <c r="AA123" s="4">
        <v>7.7</v>
      </c>
      <c r="AB123" s="4">
        <v>3.4</v>
      </c>
      <c r="AC123" s="4">
        <v>12.5</v>
      </c>
      <c r="AD123" s="4"/>
      <c r="AE123" s="4">
        <v>91</v>
      </c>
      <c r="AF123" s="4"/>
      <c r="AG123" s="5">
        <v>7.558</v>
      </c>
      <c r="AH123" s="5"/>
      <c r="AI123" s="4" t="inlineStr">
        <is>
          <t>Non</t>
        </is>
      </c>
    </row>
    <row r="124" spans="1:37" x14ac:dyDescent="0.3">
      <c r="A124" s="3">
        <v>120</v>
      </c>
      <c r="B124" s="3" t="s">
        <v>209</v>
      </c>
      <c r="C124" s="3" t="s">
        <v>202</v>
      </c>
      <c r="D124" s="3">
        <v>2025</v>
      </c>
      <c r="E124" s="11">
        <v>45735</v>
      </c>
      <c r="F124" s="4" t="s">
        <v>73</v>
      </c>
      <c r="G124" s="4" t="s">
        <v>62</v>
      </c>
      <c r="H124" s="4"/>
      <c r="I124" s="4"/>
      <c r="J124" s="4"/>
      <c r="K124" s="27" t="s">
        <v>37</v>
      </c>
      <c r="L124" s="4"/>
      <c r="M124" s="4"/>
      <c r="N124" s="4"/>
      <c r="O124" s="4"/>
      <c r="P124" s="4"/>
      <c r="Q124" s="4"/>
      <c r="R124" s="4">
        <v>7.7</v>
      </c>
      <c r="S124" s="4">
        <v>3</v>
      </c>
      <c r="T124" s="4">
        <v>12.9</v>
      </c>
      <c r="U124" s="4">
        <v>20.3</v>
      </c>
      <c r="V124" s="4">
        <v>71.599999999999994</v>
      </c>
      <c r="W124" s="4">
        <v>8.1</v>
      </c>
      <c r="X124" s="4">
        <v>15.9</v>
      </c>
      <c r="Y124" s="4">
        <v>20.5</v>
      </c>
      <c r="Z124" s="28">
        <v>1.32</v>
      </c>
      <c r="AA124" s="4">
        <v>11.1</v>
      </c>
      <c r="AB124" s="4">
        <v>2</v>
      </c>
      <c r="AC124" s="4">
        <v>0</v>
      </c>
      <c r="AD124" s="4"/>
      <c r="AE124" s="4">
        <v>61</v>
      </c>
      <c r="AF124" s="4"/>
      <c r="AG124" s="5">
        <v>0.0</v>
      </c>
      <c r="AH124" s="5"/>
      <c r="AI124" s="4" t="inlineStr">
        <is>
          <t>Non</t>
        </is>
      </c>
    </row>
    <row r="125" spans="1:37" x14ac:dyDescent="0.3">
      <c r="A125" s="3">
        <v>121</v>
      </c>
      <c r="B125" s="3" t="s">
        <v>210</v>
      </c>
      <c r="C125" s="3" t="s">
        <v>203</v>
      </c>
      <c r="D125" s="3">
        <v>2018</v>
      </c>
      <c r="E125" s="11">
        <v>43173</v>
      </c>
      <c r="F125" s="4" t="s">
        <v>66</v>
      </c>
      <c r="G125" s="4" t="s">
        <v>57</v>
      </c>
      <c r="H125" s="4">
        <v>90</v>
      </c>
      <c r="I125" s="4">
        <v>0</v>
      </c>
      <c r="J125" s="26" t="s">
        <v>55</v>
      </c>
      <c r="K125" s="27" t="s">
        <v>37</v>
      </c>
      <c r="L125" s="4"/>
      <c r="M125" s="4"/>
      <c r="N125" s="4"/>
      <c r="O125" s="4"/>
      <c r="P125" s="4">
        <v>90</v>
      </c>
      <c r="Q125" s="4">
        <v>7</v>
      </c>
      <c r="R125" s="4">
        <v>7.8</v>
      </c>
      <c r="S125" s="4">
        <v>5</v>
      </c>
      <c r="T125" s="4">
        <v>11.5</v>
      </c>
      <c r="U125" s="4">
        <v>20.3</v>
      </c>
      <c r="V125" s="4">
        <v>71.599999999999994</v>
      </c>
      <c r="W125" s="4">
        <v>8.1</v>
      </c>
      <c r="X125" s="4">
        <v>15</v>
      </c>
      <c r="Y125" s="4">
        <v>21.3</v>
      </c>
      <c r="Z125" s="28">
        <v>1.21</v>
      </c>
      <c r="AA125" s="4">
        <v>8.8000000000000007</v>
      </c>
      <c r="AB125" s="4">
        <v>3.8</v>
      </c>
      <c r="AC125" s="4">
        <v>7.5</v>
      </c>
      <c r="AD125" s="4"/>
      <c r="AE125" s="4">
        <v>73</v>
      </c>
      <c r="AF125" s="15"/>
      <c r="AG125" s="5">
        <v>0.0</v>
      </c>
      <c r="AH125" s="5">
        <v>68.0</v>
      </c>
      <c r="AI125" s="4" t="inlineStr">
        <is>
          <t>Non</t>
        </is>
      </c>
      <c r="AK125" s="4" t="inlineStr">
        <is>
          <t>TAN=0 confirmé (fiche: N total = N organique → 0 N ammoniacal)</t>
        </is>
      </c>
    </row>
    <row r="126" spans="1:37" x14ac:dyDescent="0.3">
      <c r="A126" s="3">
        <v>122</v>
      </c>
      <c r="B126" s="3" t="s">
        <v>210</v>
      </c>
      <c r="C126" s="3" t="s">
        <v>203</v>
      </c>
      <c r="D126" s="3">
        <v>2019</v>
      </c>
      <c r="E126" s="11">
        <v>43521</v>
      </c>
      <c r="F126" s="4" t="s">
        <v>66</v>
      </c>
      <c r="G126" s="4" t="s">
        <v>57</v>
      </c>
      <c r="H126" s="4">
        <v>88</v>
      </c>
      <c r="I126" s="4">
        <f>H126*0.55</f>
        <v>48.400000000000006</v>
      </c>
      <c r="J126" s="26" t="s">
        <v>55</v>
      </c>
      <c r="K126" s="27" t="s">
        <v>37</v>
      </c>
      <c r="L126" s="4"/>
      <c r="M126" s="4"/>
      <c r="N126" s="4"/>
      <c r="O126" s="4"/>
      <c r="P126" s="4">
        <v>95</v>
      </c>
      <c r="Q126" s="4">
        <v>7</v>
      </c>
      <c r="R126" s="4">
        <v>7.8</v>
      </c>
      <c r="S126" s="4">
        <v>5</v>
      </c>
      <c r="T126" s="4">
        <v>11.5</v>
      </c>
      <c r="U126" s="4">
        <v>20.3</v>
      </c>
      <c r="V126" s="4">
        <v>71.599999999999994</v>
      </c>
      <c r="W126" s="4">
        <v>8.1</v>
      </c>
      <c r="X126" s="4">
        <v>15</v>
      </c>
      <c r="Y126" s="4">
        <v>21.3</v>
      </c>
      <c r="Z126" s="28">
        <v>1.21</v>
      </c>
      <c r="AA126" s="4">
        <v>9.1</v>
      </c>
      <c r="AB126" s="4">
        <v>1.7</v>
      </c>
      <c r="AC126" s="4">
        <v>0</v>
      </c>
      <c r="AD126" s="4"/>
      <c r="AE126" s="4">
        <v>54</v>
      </c>
      <c r="AF126" s="4"/>
      <c r="AG126" s="5">
        <v>32.912</v>
      </c>
      <c r="AH126" s="5">
        <v>68.0</v>
      </c>
      <c r="AI126" s="4" t="inlineStr">
        <is>
          <t>Non</t>
        </is>
      </c>
      <c r="AK126" s="4" t="inlineStr">
        <is>
          <t>TAN=48.4 — produit organique distinct (avec N ammoniacal), valeur conservée</t>
        </is>
      </c>
    </row>
    <row r="127" spans="1:37" x14ac:dyDescent="0.3">
      <c r="A127" s="3">
        <v>123</v>
      </c>
      <c r="B127" s="3" t="s">
        <v>210</v>
      </c>
      <c r="C127" s="3" t="s">
        <v>203</v>
      </c>
      <c r="D127" s="3">
        <v>2021</v>
      </c>
      <c r="E127" s="11">
        <v>44238</v>
      </c>
      <c r="F127" s="4" t="s">
        <v>66</v>
      </c>
      <c r="G127" s="4" t="s">
        <v>57</v>
      </c>
      <c r="H127" s="4">
        <v>48</v>
      </c>
      <c r="I127" s="4">
        <v>0</v>
      </c>
      <c r="J127" s="26" t="s">
        <v>55</v>
      </c>
      <c r="K127" s="27" t="s">
        <v>37</v>
      </c>
      <c r="L127" s="4"/>
      <c r="M127" s="4"/>
      <c r="N127" s="4"/>
      <c r="O127" s="4"/>
      <c r="P127" s="4">
        <v>90</v>
      </c>
      <c r="Q127" s="4">
        <v>7</v>
      </c>
      <c r="R127" s="4">
        <v>7.8</v>
      </c>
      <c r="S127" s="4">
        <v>5</v>
      </c>
      <c r="T127" s="4">
        <v>11.5</v>
      </c>
      <c r="U127" s="4">
        <v>20.3</v>
      </c>
      <c r="V127" s="4">
        <v>71.599999999999994</v>
      </c>
      <c r="W127" s="4">
        <v>8.1</v>
      </c>
      <c r="X127" s="4">
        <v>15</v>
      </c>
      <c r="Y127" s="4">
        <v>21.3</v>
      </c>
      <c r="Z127" s="28">
        <v>1.27</v>
      </c>
      <c r="AA127" s="4">
        <v>-3.7</v>
      </c>
      <c r="AB127" s="4">
        <v>4.4000000000000004</v>
      </c>
      <c r="AC127" s="4">
        <v>0</v>
      </c>
      <c r="AD127" s="4"/>
      <c r="AE127" s="4">
        <v>74</v>
      </c>
      <c r="AF127" s="4"/>
      <c r="AG127" s="5">
        <v>0.0</v>
      </c>
      <c r="AH127" s="5">
        <v>68.0</v>
      </c>
      <c r="AI127" s="4" t="inlineStr">
        <is>
          <t>Non</t>
        </is>
      </c>
      <c r="AK127" s="4" t="inlineStr">
        <is>
          <t>TAN=0 confirmé (fiche: N total = N organique → 0 N ammoniacal)</t>
        </is>
      </c>
    </row>
    <row r="128" spans="1:37" x14ac:dyDescent="0.3">
      <c r="A128" s="3">
        <v>124</v>
      </c>
      <c r="B128" s="3" t="s">
        <v>210</v>
      </c>
      <c r="C128" s="3" t="s">
        <v>203</v>
      </c>
      <c r="D128" s="3">
        <v>2022</v>
      </c>
      <c r="E128" s="11">
        <v>44673</v>
      </c>
      <c r="F128" s="4" t="s">
        <v>66</v>
      </c>
      <c r="G128" s="4" t="s">
        <v>57</v>
      </c>
      <c r="H128" s="4">
        <v>80</v>
      </c>
      <c r="I128" s="30">
        <v>0</v>
      </c>
      <c r="J128" s="26" t="s">
        <v>55</v>
      </c>
      <c r="K128" s="27" t="s">
        <v>33</v>
      </c>
      <c r="L128" s="4"/>
      <c r="M128" s="4"/>
      <c r="N128" s="4"/>
      <c r="O128" s="4"/>
      <c r="P128" s="30"/>
      <c r="Q128" s="30">
        <v>7</v>
      </c>
      <c r="R128" s="4">
        <v>7.8</v>
      </c>
      <c r="S128" s="4">
        <v>5</v>
      </c>
      <c r="T128" s="4">
        <v>11.5</v>
      </c>
      <c r="U128" s="4">
        <v>20.3</v>
      </c>
      <c r="V128" s="4">
        <v>71.599999999999994</v>
      </c>
      <c r="W128" s="4">
        <v>8.1</v>
      </c>
      <c r="X128" s="4">
        <v>15</v>
      </c>
      <c r="Y128" s="4">
        <v>21.3</v>
      </c>
      <c r="Z128" s="28">
        <v>1.27</v>
      </c>
      <c r="AA128" s="4">
        <v>12.5</v>
      </c>
      <c r="AB128" s="4">
        <v>2.7</v>
      </c>
      <c r="AC128" s="4">
        <v>0</v>
      </c>
      <c r="AD128" s="4"/>
      <c r="AE128" s="4">
        <v>64</v>
      </c>
      <c r="AF128" s="4"/>
      <c r="AG128" s="5">
        <v>0.0</v>
      </c>
      <c r="AH128" s="5">
        <v>68.0</v>
      </c>
      <c r="AI128" s="4" t="inlineStr">
        <is>
          <t>Non</t>
        </is>
      </c>
      <c r="AK128" s="4" t="inlineStr">
        <is>
          <t>TAN=0 estimé fiche (N total = N organique → 0 N ammoniacal)</t>
        </is>
      </c>
    </row>
    <row r="129" spans="1:37" x14ac:dyDescent="0.3">
      <c r="A129" s="3">
        <v>125</v>
      </c>
      <c r="B129" s="3" t="s">
        <v>210</v>
      </c>
      <c r="C129" s="3" t="s">
        <v>203</v>
      </c>
      <c r="D129" s="3">
        <v>2023</v>
      </c>
      <c r="E129" s="11">
        <v>44972</v>
      </c>
      <c r="F129" s="4" t="s">
        <v>66</v>
      </c>
      <c r="G129" s="4" t="s">
        <v>57</v>
      </c>
      <c r="H129" s="4">
        <v>37</v>
      </c>
      <c r="I129" s="30">
        <v>0</v>
      </c>
      <c r="J129" s="26" t="s">
        <v>55</v>
      </c>
      <c r="K129" s="27" t="s">
        <v>33</v>
      </c>
      <c r="L129" s="4"/>
      <c r="M129" s="4"/>
      <c r="N129" s="4"/>
      <c r="O129" s="4"/>
      <c r="P129" s="30"/>
      <c r="Q129" s="30">
        <v>7</v>
      </c>
      <c r="R129" s="4">
        <v>7.8</v>
      </c>
      <c r="S129" s="4">
        <v>5</v>
      </c>
      <c r="T129" s="4">
        <v>11.5</v>
      </c>
      <c r="U129" s="4">
        <v>20.3</v>
      </c>
      <c r="V129" s="4">
        <v>71.599999999999994</v>
      </c>
      <c r="W129" s="4">
        <v>8.1</v>
      </c>
      <c r="X129" s="4">
        <v>15</v>
      </c>
      <c r="Y129" s="4">
        <v>21.3</v>
      </c>
      <c r="Z129" s="28">
        <v>1.27</v>
      </c>
      <c r="AA129" s="4">
        <v>7</v>
      </c>
      <c r="AB129" s="4">
        <v>1.1000000000000001</v>
      </c>
      <c r="AC129" s="4">
        <v>0</v>
      </c>
      <c r="AD129" s="4"/>
      <c r="AE129" s="4">
        <v>76</v>
      </c>
      <c r="AF129" s="4"/>
      <c r="AG129" s="5">
        <v>0.0</v>
      </c>
      <c r="AH129" s="5">
        <v>68.0</v>
      </c>
      <c r="AI129" s="4" t="inlineStr">
        <is>
          <t>Non</t>
        </is>
      </c>
      <c r="AK129" s="4" t="inlineStr">
        <is>
          <t>TAN=0 estimé fiche (N total = N organique → 0 N ammoniacal)</t>
        </is>
      </c>
    </row>
    <row r="130" spans="1:37" x14ac:dyDescent="0.3">
      <c r="A130" s="3">
        <v>126</v>
      </c>
      <c r="B130" s="3" t="s">
        <v>211</v>
      </c>
      <c r="C130" s="3" t="s">
        <v>204</v>
      </c>
      <c r="D130" s="3">
        <v>2018</v>
      </c>
      <c r="E130" s="11">
        <v>43175</v>
      </c>
      <c r="F130" s="4" t="s">
        <v>63</v>
      </c>
      <c r="G130" s="4" t="s">
        <v>42</v>
      </c>
      <c r="H130" s="4">
        <v>38</v>
      </c>
      <c r="I130" s="4"/>
      <c r="J130" s="26" t="s">
        <v>58</v>
      </c>
      <c r="K130" s="27" t="s">
        <v>37</v>
      </c>
      <c r="L130" s="4"/>
      <c r="M130" s="4"/>
      <c r="N130" s="4"/>
      <c r="O130" s="4"/>
      <c r="P130" s="4"/>
      <c r="Q130" s="4"/>
      <c r="R130" s="4">
        <v>7.5</v>
      </c>
      <c r="S130" s="4">
        <v>0.5</v>
      </c>
      <c r="T130" s="4">
        <v>13.4</v>
      </c>
      <c r="U130" s="4">
        <v>20.3</v>
      </c>
      <c r="V130" s="4">
        <v>71.599999999999994</v>
      </c>
      <c r="W130" s="4">
        <v>8.1</v>
      </c>
      <c r="X130" s="4">
        <v>12.9</v>
      </c>
      <c r="Y130" s="4">
        <v>21.3</v>
      </c>
      <c r="Z130" s="28">
        <v>1.29</v>
      </c>
      <c r="AA130" s="4">
        <v>8.6</v>
      </c>
      <c r="AB130" s="4">
        <v>2.2999999999999998</v>
      </c>
      <c r="AC130" s="4">
        <v>0</v>
      </c>
      <c r="AD130" s="4"/>
      <c r="AE130" s="4">
        <v>84</v>
      </c>
      <c r="AF130" s="15"/>
      <c r="AG130" s="5">
        <v>5.038</v>
      </c>
      <c r="AH130" s="5"/>
      <c r="AI130" s="4" t="inlineStr">
        <is>
          <t>Non</t>
        </is>
      </c>
    </row>
    <row r="131" spans="1:37" x14ac:dyDescent="0.3">
      <c r="A131" s="3">
        <v>127</v>
      </c>
      <c r="B131" s="3" t="s">
        <v>211</v>
      </c>
      <c r="C131" s="3" t="s">
        <v>204</v>
      </c>
      <c r="D131" s="3">
        <v>2018</v>
      </c>
      <c r="E131" s="11">
        <v>43186</v>
      </c>
      <c r="F131" s="4" t="s">
        <v>63</v>
      </c>
      <c r="G131" s="4" t="s">
        <v>42</v>
      </c>
      <c r="H131" s="4">
        <v>57</v>
      </c>
      <c r="I131" s="4"/>
      <c r="J131" s="26" t="s">
        <v>58</v>
      </c>
      <c r="K131" s="27" t="s">
        <v>37</v>
      </c>
      <c r="L131" s="4"/>
      <c r="M131" s="4"/>
      <c r="N131" s="4"/>
      <c r="O131" s="4"/>
      <c r="P131" s="4"/>
      <c r="Q131" s="4"/>
      <c r="R131" s="4">
        <v>7.5</v>
      </c>
      <c r="S131" s="4">
        <v>0.5</v>
      </c>
      <c r="T131" s="4">
        <v>13.4</v>
      </c>
      <c r="U131" s="4">
        <v>20.3</v>
      </c>
      <c r="V131" s="4">
        <v>71.599999999999994</v>
      </c>
      <c r="W131" s="4">
        <v>8.1</v>
      </c>
      <c r="X131" s="4">
        <v>12.9</v>
      </c>
      <c r="Y131" s="4">
        <v>21.3</v>
      </c>
      <c r="Z131" s="28">
        <v>1.29</v>
      </c>
      <c r="AA131" s="4">
        <v>8.5</v>
      </c>
      <c r="AB131" s="4">
        <v>4</v>
      </c>
      <c r="AC131" s="4">
        <v>4</v>
      </c>
      <c r="AD131" s="4"/>
      <c r="AE131" s="4">
        <v>88</v>
      </c>
      <c r="AF131" s="15"/>
      <c r="AG131" s="5">
        <v>7.558</v>
      </c>
      <c r="AH131" s="5"/>
      <c r="AI131" s="4" t="inlineStr">
        <is>
          <t>Non</t>
        </is>
      </c>
    </row>
    <row r="132" spans="1:37" x14ac:dyDescent="0.3">
      <c r="A132" s="3">
        <v>128</v>
      </c>
      <c r="B132" s="3" t="s">
        <v>211</v>
      </c>
      <c r="C132" s="3" t="s">
        <v>204</v>
      </c>
      <c r="D132" s="3">
        <v>2018</v>
      </c>
      <c r="E132" s="11">
        <v>43202</v>
      </c>
      <c r="F132" s="4" t="s">
        <v>59</v>
      </c>
      <c r="G132" s="4" t="s">
        <v>42</v>
      </c>
      <c r="H132" s="4">
        <v>40</v>
      </c>
      <c r="I132" s="4"/>
      <c r="J132" s="26" t="s">
        <v>58</v>
      </c>
      <c r="K132" s="27" t="s">
        <v>37</v>
      </c>
      <c r="L132" s="4"/>
      <c r="M132" s="4"/>
      <c r="N132" s="4"/>
      <c r="O132" s="4"/>
      <c r="P132" s="4"/>
      <c r="Q132" s="4"/>
      <c r="R132" s="4">
        <v>7.5</v>
      </c>
      <c r="S132" s="4">
        <v>0.5</v>
      </c>
      <c r="T132" s="4">
        <v>13.4</v>
      </c>
      <c r="U132" s="4">
        <v>20.3</v>
      </c>
      <c r="V132" s="4">
        <v>71.599999999999994</v>
      </c>
      <c r="W132" s="4">
        <v>8.1</v>
      </c>
      <c r="X132" s="4">
        <v>12.9</v>
      </c>
      <c r="Y132" s="4">
        <v>21.3</v>
      </c>
      <c r="Z132" s="28">
        <v>1.29</v>
      </c>
      <c r="AA132" s="4">
        <v>10.6</v>
      </c>
      <c r="AB132" s="4">
        <v>1.6</v>
      </c>
      <c r="AC132" s="4">
        <v>11.5</v>
      </c>
      <c r="AD132" s="4"/>
      <c r="AE132" s="4">
        <v>90</v>
      </c>
      <c r="AF132" s="4"/>
      <c r="AG132" s="5">
        <v>5.304</v>
      </c>
      <c r="AH132" s="5"/>
      <c r="AI132" s="4" t="inlineStr">
        <is>
          <t>Non</t>
        </is>
      </c>
    </row>
    <row r="133" spans="1:37" x14ac:dyDescent="0.3">
      <c r="A133" s="3">
        <v>129</v>
      </c>
      <c r="B133" s="3" t="s">
        <v>211</v>
      </c>
      <c r="C133" s="3" t="s">
        <v>204</v>
      </c>
      <c r="D133" s="3">
        <v>2018</v>
      </c>
      <c r="E133" s="11">
        <v>43232</v>
      </c>
      <c r="F133" s="4" t="s">
        <v>59</v>
      </c>
      <c r="G133" s="4" t="s">
        <v>42</v>
      </c>
      <c r="H133" s="4">
        <v>51</v>
      </c>
      <c r="I133" s="4"/>
      <c r="J133" s="26" t="s">
        <v>58</v>
      </c>
      <c r="K133" s="27" t="s">
        <v>37</v>
      </c>
      <c r="L133" s="4"/>
      <c r="M133" s="4"/>
      <c r="N133" s="4"/>
      <c r="O133" s="4"/>
      <c r="P133" s="4"/>
      <c r="Q133" s="4"/>
      <c r="R133" s="4">
        <v>7.5</v>
      </c>
      <c r="S133" s="4">
        <v>0.5</v>
      </c>
      <c r="T133" s="4">
        <v>13.4</v>
      </c>
      <c r="U133" s="4">
        <v>20.3</v>
      </c>
      <c r="V133" s="4">
        <v>71.599999999999994</v>
      </c>
      <c r="W133" s="4">
        <v>8.1</v>
      </c>
      <c r="X133" s="4">
        <v>12.9</v>
      </c>
      <c r="Y133" s="4">
        <v>21.3</v>
      </c>
      <c r="Z133" s="28">
        <v>1.29</v>
      </c>
      <c r="AA133" s="4">
        <v>12.9</v>
      </c>
      <c r="AB133" s="4">
        <v>1.9</v>
      </c>
      <c r="AC133" s="4">
        <v>5</v>
      </c>
      <c r="AD133" s="4"/>
      <c r="AE133" s="4">
        <v>85</v>
      </c>
      <c r="AF133" s="4"/>
      <c r="AG133" s="5">
        <v>6.762</v>
      </c>
      <c r="AH133" s="5"/>
      <c r="AI133" s="4" t="inlineStr">
        <is>
          <t>Non</t>
        </is>
      </c>
    </row>
    <row r="134" spans="1:37" x14ac:dyDescent="0.3">
      <c r="A134" s="3">
        <v>130</v>
      </c>
      <c r="B134" s="3" t="s">
        <v>211</v>
      </c>
      <c r="C134" s="3" t="s">
        <v>204</v>
      </c>
      <c r="D134" s="3">
        <v>2018</v>
      </c>
      <c r="E134" s="11">
        <v>43373</v>
      </c>
      <c r="F134" s="4" t="s">
        <v>30</v>
      </c>
      <c r="G134" s="4" t="s">
        <v>31</v>
      </c>
      <c r="H134" s="13">
        <v>81</v>
      </c>
      <c r="I134" s="4">
        <f>H134*0.5228</f>
        <v>42.346800000000002</v>
      </c>
      <c r="J134" s="26"/>
      <c r="K134" s="27" t="s">
        <v>37</v>
      </c>
      <c r="L134" s="4"/>
      <c r="M134" s="4"/>
      <c r="N134" s="4"/>
      <c r="O134" s="4"/>
      <c r="P134" s="4">
        <v>2.4</v>
      </c>
      <c r="Q134" s="4"/>
      <c r="R134" s="4">
        <v>7.5</v>
      </c>
      <c r="S134" s="4">
        <v>0.5</v>
      </c>
      <c r="T134" s="4">
        <v>13.4</v>
      </c>
      <c r="U134" s="4">
        <v>20.3</v>
      </c>
      <c r="V134" s="4">
        <v>71.599999999999994</v>
      </c>
      <c r="W134" s="4">
        <v>8.1</v>
      </c>
      <c r="X134" s="4">
        <v>12.9</v>
      </c>
      <c r="Y134" s="4">
        <v>21.3</v>
      </c>
      <c r="Z134" s="28">
        <v>1.29</v>
      </c>
      <c r="AA134" s="4">
        <v>10.7</v>
      </c>
      <c r="AB134" s="4">
        <v>1.9</v>
      </c>
      <c r="AC134" s="4">
        <v>0</v>
      </c>
      <c r="AD134" s="4"/>
      <c r="AE134" s="4">
        <v>70</v>
      </c>
      <c r="AF134" s="4"/>
      <c r="AG134" s="5">
        <v>23.291</v>
      </c>
      <c r="AH134" s="5">
        <v>55.0</v>
      </c>
      <c r="AI134" s="4" t="inlineStr">
        <is>
          <t>Non</t>
        </is>
      </c>
    </row>
    <row r="135" spans="1:37" x14ac:dyDescent="0.3">
      <c r="A135" s="3">
        <v>131</v>
      </c>
      <c r="B135" s="3" t="s">
        <v>211</v>
      </c>
      <c r="C135" s="3" t="s">
        <v>204</v>
      </c>
      <c r="D135" s="3">
        <v>2019</v>
      </c>
      <c r="E135" s="11">
        <v>43514</v>
      </c>
      <c r="F135" s="4" t="s">
        <v>81</v>
      </c>
      <c r="G135" s="4" t="s">
        <v>42</v>
      </c>
      <c r="H135" s="4">
        <v>38</v>
      </c>
      <c r="I135" s="4"/>
      <c r="J135" s="26" t="s">
        <v>58</v>
      </c>
      <c r="K135" s="27" t="s">
        <v>37</v>
      </c>
      <c r="L135" s="4"/>
      <c r="M135" s="4"/>
      <c r="N135" s="4"/>
      <c r="O135" s="4"/>
      <c r="P135" s="4"/>
      <c r="Q135" s="4"/>
      <c r="R135" s="4">
        <v>7.5</v>
      </c>
      <c r="S135" s="4">
        <v>0.5</v>
      </c>
      <c r="T135" s="4">
        <v>13.4</v>
      </c>
      <c r="U135" s="4">
        <v>20.3</v>
      </c>
      <c r="V135" s="4">
        <v>71.599999999999994</v>
      </c>
      <c r="W135" s="4">
        <v>8.1</v>
      </c>
      <c r="X135" s="4">
        <v>12.9</v>
      </c>
      <c r="Y135" s="4">
        <v>21.3</v>
      </c>
      <c r="Z135" s="28">
        <v>1.29</v>
      </c>
      <c r="AA135" s="4">
        <v>8.5</v>
      </c>
      <c r="AB135" s="4">
        <v>2</v>
      </c>
      <c r="AC135" s="4">
        <v>0</v>
      </c>
      <c r="AD135" s="4"/>
      <c r="AE135" s="4">
        <v>68</v>
      </c>
      <c r="AF135" s="4"/>
      <c r="AG135" s="5">
        <v>5.038</v>
      </c>
      <c r="AH135" s="5"/>
      <c r="AI135" s="4" t="inlineStr">
        <is>
          <t>Non</t>
        </is>
      </c>
    </row>
    <row r="136" spans="1:37" x14ac:dyDescent="0.3">
      <c r="A136" s="3">
        <v>132</v>
      </c>
      <c r="B136" s="3" t="s">
        <v>211</v>
      </c>
      <c r="C136" s="3" t="s">
        <v>204</v>
      </c>
      <c r="D136" s="3">
        <v>2019</v>
      </c>
      <c r="E136" s="11">
        <v>43557</v>
      </c>
      <c r="F136" s="4" t="s">
        <v>59</v>
      </c>
      <c r="G136" s="4" t="s">
        <v>42</v>
      </c>
      <c r="H136" s="4">
        <v>29.25</v>
      </c>
      <c r="I136" s="4"/>
      <c r="J136" s="26" t="s">
        <v>58</v>
      </c>
      <c r="K136" s="27" t="s">
        <v>37</v>
      </c>
      <c r="L136" s="4"/>
      <c r="M136" s="4"/>
      <c r="N136" s="4"/>
      <c r="O136" s="4"/>
      <c r="P136" s="4"/>
      <c r="Q136" s="4"/>
      <c r="R136" s="4">
        <v>7.5</v>
      </c>
      <c r="S136" s="4">
        <v>0.5</v>
      </c>
      <c r="T136" s="4">
        <v>13.4</v>
      </c>
      <c r="U136" s="4">
        <v>20.3</v>
      </c>
      <c r="V136" s="4">
        <v>71.599999999999994</v>
      </c>
      <c r="W136" s="4">
        <v>8.1</v>
      </c>
      <c r="X136" s="4">
        <v>12.9</v>
      </c>
      <c r="Y136" s="4">
        <v>21.3</v>
      </c>
      <c r="Z136" s="28">
        <v>1.29</v>
      </c>
      <c r="AA136" s="4">
        <v>10.7</v>
      </c>
      <c r="AB136" s="4">
        <v>3.9</v>
      </c>
      <c r="AC136" s="4">
        <v>6.5</v>
      </c>
      <c r="AD136" s="4"/>
      <c r="AE136" s="4">
        <v>73</v>
      </c>
      <c r="AF136" s="4"/>
      <c r="AG136" s="5">
        <v>3.878</v>
      </c>
      <c r="AH136" s="5"/>
      <c r="AI136" s="4" t="inlineStr">
        <is>
          <t>Non</t>
        </is>
      </c>
    </row>
    <row r="137" spans="1:37" x14ac:dyDescent="0.3">
      <c r="A137" s="3">
        <v>133</v>
      </c>
      <c r="B137" s="3" t="s">
        <v>211</v>
      </c>
      <c r="C137" s="3" t="s">
        <v>204</v>
      </c>
      <c r="D137" s="3">
        <v>2019</v>
      </c>
      <c r="E137" s="11">
        <v>43697</v>
      </c>
      <c r="F137" s="4" t="s">
        <v>34</v>
      </c>
      <c r="G137" s="4" t="s">
        <v>31</v>
      </c>
      <c r="H137" s="18">
        <v>1.3</v>
      </c>
      <c r="I137" s="18">
        <f>H137*0.453</f>
        <v>0.58890000000000009</v>
      </c>
      <c r="J137" s="26"/>
      <c r="K137" s="27" t="s">
        <v>37</v>
      </c>
      <c r="L137" s="4"/>
      <c r="M137" s="4"/>
      <c r="N137" s="4"/>
      <c r="O137" s="4"/>
      <c r="P137" s="4">
        <v>6.6</v>
      </c>
      <c r="Q137" s="4"/>
      <c r="R137" s="4">
        <v>7.5</v>
      </c>
      <c r="S137" s="4">
        <v>0.5</v>
      </c>
      <c r="T137" s="4">
        <v>13.4</v>
      </c>
      <c r="U137" s="4">
        <v>20.3</v>
      </c>
      <c r="V137" s="4">
        <v>71.599999999999994</v>
      </c>
      <c r="W137" s="4">
        <v>8.1</v>
      </c>
      <c r="X137" s="4">
        <v>12.9</v>
      </c>
      <c r="Y137" s="4">
        <v>21.3</v>
      </c>
      <c r="Z137" s="28">
        <v>1.29</v>
      </c>
      <c r="AA137" s="4">
        <v>16.7</v>
      </c>
      <c r="AB137" s="4">
        <v>1.2</v>
      </c>
      <c r="AC137" s="4">
        <v>0</v>
      </c>
      <c r="AD137" s="4"/>
      <c r="AE137" s="4">
        <v>67</v>
      </c>
      <c r="AF137" s="4"/>
      <c r="AG137" s="5">
        <v>0.324</v>
      </c>
      <c r="AH137" s="5">
        <v>55.0</v>
      </c>
      <c r="AI137" s="4" t="inlineStr">
        <is>
          <t>Non</t>
        </is>
      </c>
    </row>
    <row r="138" spans="1:37" x14ac:dyDescent="0.3">
      <c r="A138" s="3">
        <v>134</v>
      </c>
      <c r="B138" s="3" t="s">
        <v>211</v>
      </c>
      <c r="C138" s="3" t="s">
        <v>204</v>
      </c>
      <c r="D138" s="3">
        <v>2020</v>
      </c>
      <c r="E138" s="11">
        <v>43879</v>
      </c>
      <c r="F138" s="13" t="s">
        <v>71</v>
      </c>
      <c r="G138" s="4" t="s">
        <v>42</v>
      </c>
      <c r="H138" s="4">
        <v>70</v>
      </c>
      <c r="I138" s="4"/>
      <c r="J138" s="26" t="s">
        <v>58</v>
      </c>
      <c r="K138" s="27" t="s">
        <v>37</v>
      </c>
      <c r="L138" s="4"/>
      <c r="M138" s="4"/>
      <c r="N138" s="4"/>
      <c r="O138" s="4"/>
      <c r="P138" s="4"/>
      <c r="Q138" s="4"/>
      <c r="R138" s="4">
        <v>7.5</v>
      </c>
      <c r="S138" s="4">
        <v>0.5</v>
      </c>
      <c r="T138" s="4">
        <v>13.4</v>
      </c>
      <c r="U138" s="4">
        <v>20.3</v>
      </c>
      <c r="V138" s="4">
        <v>71.599999999999994</v>
      </c>
      <c r="W138" s="4">
        <v>8.1</v>
      </c>
      <c r="X138" s="4">
        <v>12.9</v>
      </c>
      <c r="Y138" s="4">
        <v>21.3</v>
      </c>
      <c r="Z138" s="28">
        <v>1.29</v>
      </c>
      <c r="AA138" s="4">
        <v>7</v>
      </c>
      <c r="AB138" s="4">
        <v>4.9000000000000004</v>
      </c>
      <c r="AC138" s="4">
        <v>5.5</v>
      </c>
      <c r="AD138" s="4"/>
      <c r="AE138" s="4">
        <v>77</v>
      </c>
      <c r="AF138" s="4"/>
      <c r="AG138" s="5">
        <v>9.281</v>
      </c>
      <c r="AH138" s="5"/>
      <c r="AI138" s="4" t="inlineStr">
        <is>
          <t>Non</t>
        </is>
      </c>
    </row>
    <row r="139" spans="1:37" x14ac:dyDescent="0.3">
      <c r="A139" s="3">
        <v>135</v>
      </c>
      <c r="B139" s="3" t="s">
        <v>211</v>
      </c>
      <c r="C139" s="3" t="s">
        <v>204</v>
      </c>
      <c r="D139" s="3">
        <v>2020</v>
      </c>
      <c r="E139" s="11">
        <v>43898</v>
      </c>
      <c r="F139" s="4" t="s">
        <v>73</v>
      </c>
      <c r="G139" s="4" t="s">
        <v>62</v>
      </c>
      <c r="H139" s="4"/>
      <c r="I139" s="4"/>
      <c r="J139" s="26" t="s">
        <v>58</v>
      </c>
      <c r="K139" s="27" t="s">
        <v>37</v>
      </c>
      <c r="L139" s="4"/>
      <c r="M139" s="4"/>
      <c r="N139" s="4"/>
      <c r="O139" s="4"/>
      <c r="P139" s="4"/>
      <c r="Q139" s="4"/>
      <c r="R139" s="4">
        <v>7.5</v>
      </c>
      <c r="S139" s="4">
        <v>0.5</v>
      </c>
      <c r="T139" s="4">
        <v>13.4</v>
      </c>
      <c r="U139" s="4">
        <v>20.3</v>
      </c>
      <c r="V139" s="4">
        <v>71.599999999999994</v>
      </c>
      <c r="W139" s="4">
        <v>8.1</v>
      </c>
      <c r="X139" s="4">
        <v>12.9</v>
      </c>
      <c r="Y139" s="4">
        <v>21.3</v>
      </c>
      <c r="Z139" s="28">
        <v>1.29</v>
      </c>
      <c r="AA139" s="4">
        <v>8</v>
      </c>
      <c r="AB139" s="4">
        <v>4.7</v>
      </c>
      <c r="AC139" s="4">
        <v>3</v>
      </c>
      <c r="AD139" s="4"/>
      <c r="AE139" s="4">
        <v>88</v>
      </c>
      <c r="AF139" s="4"/>
      <c r="AG139" s="5">
        <v>0.0</v>
      </c>
      <c r="AH139" s="5"/>
      <c r="AI139" s="4" t="inlineStr">
        <is>
          <t>Non</t>
        </is>
      </c>
    </row>
    <row r="140" spans="1:37" x14ac:dyDescent="0.3">
      <c r="A140" s="3">
        <v>136</v>
      </c>
      <c r="B140" s="3" t="s">
        <v>211</v>
      </c>
      <c r="C140" s="3" t="s">
        <v>204</v>
      </c>
      <c r="D140" s="3">
        <v>2021</v>
      </c>
      <c r="E140" s="11">
        <v>44240</v>
      </c>
      <c r="F140" s="4" t="s">
        <v>38</v>
      </c>
      <c r="G140" s="4" t="s">
        <v>31</v>
      </c>
      <c r="H140" s="13">
        <v>1.75</v>
      </c>
      <c r="I140" s="4">
        <f>H140*0.4166</f>
        <v>0.72905000000000009</v>
      </c>
      <c r="J140" s="26" t="s">
        <v>36</v>
      </c>
      <c r="K140" s="27" t="s">
        <v>37</v>
      </c>
      <c r="L140" s="4"/>
      <c r="M140" s="4"/>
      <c r="N140" s="4"/>
      <c r="O140" s="4"/>
      <c r="P140" s="4">
        <v>7.3</v>
      </c>
      <c r="Q140" s="4"/>
      <c r="R140" s="4">
        <v>7.5</v>
      </c>
      <c r="S140" s="4">
        <v>0.5</v>
      </c>
      <c r="T140" s="4">
        <v>13.4</v>
      </c>
      <c r="U140" s="4">
        <v>20.3</v>
      </c>
      <c r="V140" s="4">
        <v>71.599999999999994</v>
      </c>
      <c r="W140" s="4">
        <v>8.1</v>
      </c>
      <c r="X140" s="4">
        <v>12.9</v>
      </c>
      <c r="Y140" s="4">
        <v>21.3</v>
      </c>
      <c r="Z140" s="28">
        <v>1.25</v>
      </c>
      <c r="AA140" s="4">
        <v>-3.6</v>
      </c>
      <c r="AB140" s="4">
        <v>3.7</v>
      </c>
      <c r="AC140" s="4">
        <v>0</v>
      </c>
      <c r="AD140" s="4"/>
      <c r="AE140" s="4">
        <v>60</v>
      </c>
      <c r="AF140" s="4"/>
      <c r="AG140" s="5">
        <v>0.401</v>
      </c>
      <c r="AH140" s="5">
        <v>55.0</v>
      </c>
      <c r="AI140" s="4" t="inlineStr">
        <is>
          <t>Non</t>
        </is>
      </c>
    </row>
    <row r="141" spans="1:37" x14ac:dyDescent="0.3">
      <c r="A141" s="3">
        <v>137</v>
      </c>
      <c r="B141" s="3" t="s">
        <v>211</v>
      </c>
      <c r="C141" s="3" t="s">
        <v>204</v>
      </c>
      <c r="D141" s="3">
        <v>2021</v>
      </c>
      <c r="E141" s="11">
        <v>44265</v>
      </c>
      <c r="F141" s="4" t="s">
        <v>80</v>
      </c>
      <c r="G141" s="4" t="s">
        <v>42</v>
      </c>
      <c r="H141" s="4">
        <v>72</v>
      </c>
      <c r="I141" s="4"/>
      <c r="J141" s="26" t="s">
        <v>58</v>
      </c>
      <c r="K141" s="27" t="s">
        <v>37</v>
      </c>
      <c r="L141" s="4"/>
      <c r="M141" s="4"/>
      <c r="N141" s="4"/>
      <c r="O141" s="4"/>
      <c r="P141" s="4"/>
      <c r="Q141" s="4"/>
      <c r="R141" s="4">
        <v>7.5</v>
      </c>
      <c r="S141" s="4">
        <v>0.5</v>
      </c>
      <c r="T141" s="4">
        <v>13.4</v>
      </c>
      <c r="U141" s="4">
        <v>20.3</v>
      </c>
      <c r="V141" s="4">
        <v>71.599999999999994</v>
      </c>
      <c r="W141" s="4">
        <v>8.1</v>
      </c>
      <c r="X141" s="4">
        <v>12.9</v>
      </c>
      <c r="Y141" s="4">
        <v>21.3</v>
      </c>
      <c r="Z141" s="28">
        <v>1.25</v>
      </c>
      <c r="AA141" s="4">
        <v>5.9</v>
      </c>
      <c r="AB141" s="4">
        <v>4.5999999999999996</v>
      </c>
      <c r="AC141" s="4">
        <v>1</v>
      </c>
      <c r="AD141" s="4"/>
      <c r="AE141" s="4">
        <v>78</v>
      </c>
      <c r="AF141" s="4"/>
      <c r="AG141" s="5">
        <v>9.546</v>
      </c>
      <c r="AH141" s="5"/>
      <c r="AI141" s="4" t="inlineStr">
        <is>
          <t>Non</t>
        </is>
      </c>
    </row>
    <row r="142" spans="1:37" x14ac:dyDescent="0.3">
      <c r="A142" s="3">
        <v>138</v>
      </c>
      <c r="B142" s="3" t="s">
        <v>211</v>
      </c>
      <c r="C142" s="3" t="s">
        <v>204</v>
      </c>
      <c r="D142" s="3">
        <v>2021</v>
      </c>
      <c r="E142" s="11">
        <v>44322</v>
      </c>
      <c r="F142" s="4" t="s">
        <v>59</v>
      </c>
      <c r="G142" s="4" t="s">
        <v>42</v>
      </c>
      <c r="H142" s="4">
        <v>58.5</v>
      </c>
      <c r="I142" s="4"/>
      <c r="J142" s="26" t="s">
        <v>58</v>
      </c>
      <c r="K142" s="27" t="s">
        <v>37</v>
      </c>
      <c r="L142" s="4"/>
      <c r="M142" s="4"/>
      <c r="N142" s="4"/>
      <c r="O142" s="4"/>
      <c r="P142" s="4"/>
      <c r="Q142" s="4"/>
      <c r="R142" s="4">
        <v>7.5</v>
      </c>
      <c r="S142" s="4">
        <v>0.5</v>
      </c>
      <c r="T142" s="4">
        <v>13.4</v>
      </c>
      <c r="U142" s="4">
        <v>20.3</v>
      </c>
      <c r="V142" s="4">
        <v>71.599999999999994</v>
      </c>
      <c r="W142" s="4">
        <v>8.1</v>
      </c>
      <c r="X142" s="4">
        <v>12.9</v>
      </c>
      <c r="Y142" s="4">
        <v>21.3</v>
      </c>
      <c r="Z142" s="28">
        <v>1.25</v>
      </c>
      <c r="AA142" s="4">
        <v>7.5</v>
      </c>
      <c r="AB142" s="4">
        <v>1.8</v>
      </c>
      <c r="AC142" s="4">
        <v>6.5</v>
      </c>
      <c r="AD142" s="4"/>
      <c r="AE142" s="4">
        <v>89</v>
      </c>
      <c r="AF142" s="4"/>
      <c r="AG142" s="5">
        <v>7.756</v>
      </c>
      <c r="AH142" s="5"/>
      <c r="AI142" s="4" t="inlineStr">
        <is>
          <t>Non</t>
        </is>
      </c>
    </row>
    <row r="143" spans="1:37" x14ac:dyDescent="0.3">
      <c r="A143" s="3">
        <v>139</v>
      </c>
      <c r="B143" s="3" t="s">
        <v>211</v>
      </c>
      <c r="C143" s="3" t="s">
        <v>204</v>
      </c>
      <c r="D143" s="3">
        <v>2021</v>
      </c>
      <c r="E143" s="11">
        <v>44462</v>
      </c>
      <c r="F143" s="4" t="s">
        <v>47</v>
      </c>
      <c r="G143" s="4" t="s">
        <v>39</v>
      </c>
      <c r="H143" s="4">
        <v>216</v>
      </c>
      <c r="I143" s="4">
        <f>H143*0.026</f>
        <v>5.6159999999999997</v>
      </c>
      <c r="J143" s="26" t="s">
        <v>32</v>
      </c>
      <c r="K143" s="27" t="s">
        <v>33</v>
      </c>
      <c r="L143" s="4"/>
      <c r="M143" s="4"/>
      <c r="N143" s="4"/>
      <c r="O143" s="4"/>
      <c r="P143" s="4">
        <v>32</v>
      </c>
      <c r="Q143" s="4"/>
      <c r="R143" s="4">
        <v>7.5</v>
      </c>
      <c r="S143" s="4">
        <v>0.5</v>
      </c>
      <c r="T143" s="4">
        <v>13.4</v>
      </c>
      <c r="U143" s="4">
        <v>20.3</v>
      </c>
      <c r="V143" s="4">
        <v>71.599999999999994</v>
      </c>
      <c r="W143" s="4">
        <v>8.1</v>
      </c>
      <c r="X143" s="4">
        <v>12.9</v>
      </c>
      <c r="Y143" s="4">
        <v>21.3</v>
      </c>
      <c r="Z143" s="28">
        <v>1.25</v>
      </c>
      <c r="AA143" s="4">
        <v>14.5</v>
      </c>
      <c r="AB143" s="4">
        <v>1.1000000000000001</v>
      </c>
      <c r="AC143" s="4">
        <v>0</v>
      </c>
      <c r="AD143" s="4"/>
      <c r="AE143" s="4">
        <v>81</v>
      </c>
      <c r="AF143" s="4"/>
      <c r="AG143" s="5">
        <v>3.819</v>
      </c>
      <c r="AH143" s="5">
        <v>68.0</v>
      </c>
      <c r="AI143" s="4" t="inlineStr">
        <is>
          <t>Non</t>
        </is>
      </c>
    </row>
    <row r="144" spans="1:37" x14ac:dyDescent="0.3">
      <c r="A144" s="3">
        <v>140</v>
      </c>
      <c r="B144" s="3" t="s">
        <v>211</v>
      </c>
      <c r="C144" s="3" t="s">
        <v>204</v>
      </c>
      <c r="D144" s="3">
        <v>2022</v>
      </c>
      <c r="E144" s="11">
        <v>44593</v>
      </c>
      <c r="F144" s="4" t="s">
        <v>34</v>
      </c>
      <c r="G144" s="4" t="s">
        <v>31</v>
      </c>
      <c r="H144" s="13">
        <v>90</v>
      </c>
      <c r="I144" s="4">
        <f>H144*0.3451</f>
        <v>31.059000000000001</v>
      </c>
      <c r="J144" s="26" t="s">
        <v>36</v>
      </c>
      <c r="K144" s="27" t="s">
        <v>37</v>
      </c>
      <c r="L144" s="4"/>
      <c r="M144" s="4"/>
      <c r="N144" s="4"/>
      <c r="O144" s="4"/>
      <c r="P144" s="4">
        <v>6.5</v>
      </c>
      <c r="Q144" s="4">
        <v>7.6</v>
      </c>
      <c r="R144" s="4">
        <v>7.5</v>
      </c>
      <c r="S144" s="4">
        <v>0.5</v>
      </c>
      <c r="T144" s="4">
        <v>13.4</v>
      </c>
      <c r="U144" s="4">
        <v>20.3</v>
      </c>
      <c r="V144" s="4">
        <v>71.599999999999994</v>
      </c>
      <c r="W144" s="4">
        <v>8.1</v>
      </c>
      <c r="X144" s="4">
        <v>12.9</v>
      </c>
      <c r="Y144" s="4">
        <v>21.3</v>
      </c>
      <c r="Z144" s="28">
        <v>1.25</v>
      </c>
      <c r="AA144" s="4">
        <v>6.6</v>
      </c>
      <c r="AB144" s="4">
        <v>4.4000000000000004</v>
      </c>
      <c r="AC144" s="4">
        <v>0</v>
      </c>
      <c r="AD144" s="4"/>
      <c r="AE144" s="4">
        <v>92</v>
      </c>
      <c r="AF144" s="4"/>
      <c r="AG144" s="5">
        <v>17.082</v>
      </c>
      <c r="AH144" s="5">
        <v>55.0</v>
      </c>
      <c r="AI144" s="4" t="inlineStr">
        <is>
          <t>Non</t>
        </is>
      </c>
    </row>
    <row r="145" spans="1:37" x14ac:dyDescent="0.3">
      <c r="A145" s="3">
        <v>141</v>
      </c>
      <c r="B145" s="3" t="s">
        <v>211</v>
      </c>
      <c r="C145" s="3" t="s">
        <v>204</v>
      </c>
      <c r="D145" s="3">
        <v>2022</v>
      </c>
      <c r="E145" s="11">
        <v>44672</v>
      </c>
      <c r="F145" s="4" t="s">
        <v>34</v>
      </c>
      <c r="G145" s="4" t="s">
        <v>31</v>
      </c>
      <c r="H145" s="13">
        <v>119</v>
      </c>
      <c r="I145" s="28">
        <f>H145*0.3451</f>
        <v>41.066900000000004</v>
      </c>
      <c r="J145" s="26" t="s">
        <v>36</v>
      </c>
      <c r="K145" s="27" t="s">
        <v>37</v>
      </c>
      <c r="L145" s="4"/>
      <c r="M145" s="4"/>
      <c r="N145" s="4"/>
      <c r="O145" s="4"/>
      <c r="P145" s="4">
        <v>6.5</v>
      </c>
      <c r="Q145" s="28">
        <v>7.6</v>
      </c>
      <c r="R145" s="4">
        <v>7.5</v>
      </c>
      <c r="S145" s="4">
        <v>0.5</v>
      </c>
      <c r="T145" s="4">
        <v>13.4</v>
      </c>
      <c r="U145" s="4">
        <v>20.3</v>
      </c>
      <c r="V145" s="4">
        <v>71.599999999999994</v>
      </c>
      <c r="W145" s="4">
        <v>8.1</v>
      </c>
      <c r="X145" s="4">
        <v>12.9</v>
      </c>
      <c r="Y145" s="4">
        <v>21.3</v>
      </c>
      <c r="Z145" s="28">
        <v>1.25</v>
      </c>
      <c r="AA145" s="4">
        <v>12.7</v>
      </c>
      <c r="AB145" s="4">
        <v>2.2999999999999998</v>
      </c>
      <c r="AC145" s="4">
        <v>0</v>
      </c>
      <c r="AD145" s="4"/>
      <c r="AE145" s="4">
        <v>57</v>
      </c>
      <c r="AF145" s="4"/>
      <c r="AG145" s="5">
        <v>22.587</v>
      </c>
      <c r="AH145" s="5">
        <v>55.0</v>
      </c>
      <c r="AI145" s="4" t="inlineStr">
        <is>
          <t>Non</t>
        </is>
      </c>
    </row>
    <row r="146" spans="1:37" x14ac:dyDescent="0.3">
      <c r="A146" s="3">
        <v>142</v>
      </c>
      <c r="B146" s="3" t="s">
        <v>211</v>
      </c>
      <c r="C146" s="3" t="s">
        <v>204</v>
      </c>
      <c r="D146" s="3">
        <v>2022</v>
      </c>
      <c r="E146" s="11">
        <v>44700</v>
      </c>
      <c r="F146" s="4" t="s">
        <v>48</v>
      </c>
      <c r="G146" s="4" t="s">
        <v>48</v>
      </c>
      <c r="H146" s="4">
        <v>74</v>
      </c>
      <c r="I146" s="4"/>
      <c r="J146" s="26" t="s">
        <v>55</v>
      </c>
      <c r="K146" s="27" t="s">
        <v>37</v>
      </c>
      <c r="L146" s="4"/>
      <c r="M146" s="4"/>
      <c r="N146" s="4"/>
      <c r="O146" s="4"/>
      <c r="P146" s="4"/>
      <c r="Q146" s="4"/>
      <c r="R146" s="4">
        <v>7.5</v>
      </c>
      <c r="S146" s="4">
        <v>0.5</v>
      </c>
      <c r="T146" s="4">
        <v>13.4</v>
      </c>
      <c r="U146" s="4">
        <v>20.3</v>
      </c>
      <c r="V146" s="4">
        <v>71.599999999999994</v>
      </c>
      <c r="W146" s="4">
        <v>8.1</v>
      </c>
      <c r="X146" s="4">
        <v>12.9</v>
      </c>
      <c r="Y146" s="4">
        <v>21.3</v>
      </c>
      <c r="Z146" s="28">
        <v>1.25</v>
      </c>
      <c r="AA146" s="4">
        <v>20.100000000000001</v>
      </c>
      <c r="AB146" s="4">
        <v>2.2999999999999998</v>
      </c>
      <c r="AC146" s="4">
        <v>0.5</v>
      </c>
      <c r="AD146" s="4"/>
      <c r="AE146" s="4">
        <v>71</v>
      </c>
      <c r="AF146" s="4"/>
      <c r="AG146" s="5">
        <v>12.554</v>
      </c>
      <c r="AH146" s="5"/>
      <c r="AI146" s="4" t="inlineStr">
        <is>
          <t>Non</t>
        </is>
      </c>
    </row>
    <row r="147" spans="1:37" x14ac:dyDescent="0.3">
      <c r="A147" s="3">
        <v>143</v>
      </c>
      <c r="B147" s="3" t="s">
        <v>211</v>
      </c>
      <c r="C147" s="3" t="s">
        <v>204</v>
      </c>
      <c r="D147" s="3">
        <v>2022</v>
      </c>
      <c r="E147" s="11">
        <v>44819</v>
      </c>
      <c r="F147" s="4" t="s">
        <v>34</v>
      </c>
      <c r="G147" s="4" t="s">
        <v>31</v>
      </c>
      <c r="H147" s="4">
        <v>105</v>
      </c>
      <c r="I147" s="28">
        <f>H147*0.3451</f>
        <v>36.235500000000002</v>
      </c>
      <c r="J147" s="26" t="s">
        <v>36</v>
      </c>
      <c r="K147" s="27" t="s">
        <v>33</v>
      </c>
      <c r="L147" s="4"/>
      <c r="M147" s="4"/>
      <c r="N147" s="4"/>
      <c r="O147" s="4"/>
      <c r="P147" s="4">
        <v>6.5</v>
      </c>
      <c r="Q147" s="28">
        <v>7.6</v>
      </c>
      <c r="R147" s="4">
        <v>7.5</v>
      </c>
      <c r="S147" s="4">
        <v>0.5</v>
      </c>
      <c r="T147" s="4">
        <v>13.4</v>
      </c>
      <c r="U147" s="4">
        <v>20.3</v>
      </c>
      <c r="V147" s="4">
        <v>71.599999999999994</v>
      </c>
      <c r="W147" s="4">
        <v>8.1</v>
      </c>
      <c r="X147" s="4">
        <v>12.9</v>
      </c>
      <c r="Y147" s="4">
        <v>21.3</v>
      </c>
      <c r="Z147" s="28">
        <v>1.25</v>
      </c>
      <c r="AA147" s="4">
        <v>17.399999999999999</v>
      </c>
      <c r="AB147" s="4">
        <v>2.4</v>
      </c>
      <c r="AC147" s="4">
        <v>0</v>
      </c>
      <c r="AD147" s="4"/>
      <c r="AE147" s="4">
        <v>71</v>
      </c>
      <c r="AF147" s="4"/>
      <c r="AG147" s="5">
        <v>19.93</v>
      </c>
      <c r="AH147" s="5">
        <v>55.0</v>
      </c>
      <c r="AI147" s="4" t="inlineStr">
        <is>
          <t>Non</t>
        </is>
      </c>
    </row>
    <row r="148" spans="1:37" x14ac:dyDescent="0.3">
      <c r="A148" s="3">
        <v>144</v>
      </c>
      <c r="B148" s="3" t="s">
        <v>211</v>
      </c>
      <c r="C148" s="3" t="s">
        <v>204</v>
      </c>
      <c r="D148" s="3">
        <v>2023</v>
      </c>
      <c r="E148" s="11">
        <v>44991</v>
      </c>
      <c r="F148" s="4" t="s">
        <v>59</v>
      </c>
      <c r="G148" s="4" t="s">
        <v>42</v>
      </c>
      <c r="H148" s="4">
        <v>60</v>
      </c>
      <c r="I148" s="4"/>
      <c r="J148" s="26" t="s">
        <v>58</v>
      </c>
      <c r="K148" s="27" t="s">
        <v>37</v>
      </c>
      <c r="L148" s="4"/>
      <c r="M148" s="4"/>
      <c r="N148" s="4"/>
      <c r="O148" s="4"/>
      <c r="P148" s="4"/>
      <c r="Q148" s="4"/>
      <c r="R148" s="4">
        <v>7.5</v>
      </c>
      <c r="S148" s="4">
        <v>0.5</v>
      </c>
      <c r="T148" s="4">
        <v>13.4</v>
      </c>
      <c r="U148" s="4">
        <v>20.3</v>
      </c>
      <c r="V148" s="4">
        <v>71.599999999999994</v>
      </c>
      <c r="W148" s="4">
        <v>8.1</v>
      </c>
      <c r="X148" s="4">
        <v>12.9</v>
      </c>
      <c r="Y148" s="4">
        <v>21.3</v>
      </c>
      <c r="Z148" s="28">
        <v>1.25</v>
      </c>
      <c r="AA148" s="4">
        <v>4.5999999999999996</v>
      </c>
      <c r="AB148" s="4">
        <v>2.7</v>
      </c>
      <c r="AC148" s="4">
        <v>0</v>
      </c>
      <c r="AD148" s="4"/>
      <c r="AE148" s="4">
        <v>75</v>
      </c>
      <c r="AF148" s="4"/>
      <c r="AG148" s="5">
        <v>7.955</v>
      </c>
      <c r="AH148" s="5"/>
      <c r="AI148" s="4" t="inlineStr">
        <is>
          <t>Non</t>
        </is>
      </c>
    </row>
    <row r="149" spans="1:37" x14ac:dyDescent="0.3">
      <c r="A149" s="3">
        <v>145</v>
      </c>
      <c r="B149" s="3" t="s">
        <v>211</v>
      </c>
      <c r="C149" s="3" t="s">
        <v>204</v>
      </c>
      <c r="D149" s="3">
        <v>2023</v>
      </c>
      <c r="E149" s="11">
        <v>44991</v>
      </c>
      <c r="F149" s="4" t="s">
        <v>72</v>
      </c>
      <c r="G149" s="4" t="s">
        <v>54</v>
      </c>
      <c r="H149" s="4">
        <v>10</v>
      </c>
      <c r="I149" s="4"/>
      <c r="J149" s="26" t="s">
        <v>58</v>
      </c>
      <c r="K149" s="27" t="s">
        <v>37</v>
      </c>
      <c r="L149" s="4"/>
      <c r="M149" s="4"/>
      <c r="N149" s="4"/>
      <c r="O149" s="4"/>
      <c r="P149" s="4"/>
      <c r="Q149" s="4"/>
      <c r="R149" s="4">
        <v>7.5</v>
      </c>
      <c r="S149" s="4">
        <v>0.5</v>
      </c>
      <c r="T149" s="4">
        <v>13.4</v>
      </c>
      <c r="U149" s="4">
        <v>20.3</v>
      </c>
      <c r="V149" s="4">
        <v>71.599999999999994</v>
      </c>
      <c r="W149" s="4">
        <v>8.1</v>
      </c>
      <c r="X149" s="4">
        <v>12.9</v>
      </c>
      <c r="Y149" s="4">
        <v>21.3</v>
      </c>
      <c r="Z149" s="28">
        <v>1.25</v>
      </c>
      <c r="AA149" s="4">
        <v>4.5999999999999996</v>
      </c>
      <c r="AB149" s="4">
        <v>2.7</v>
      </c>
      <c r="AC149" s="4">
        <v>0</v>
      </c>
      <c r="AD149" s="4"/>
      <c r="AE149" s="4">
        <v>75</v>
      </c>
      <c r="AF149" s="4"/>
      <c r="AG149" s="5">
        <v>1.54</v>
      </c>
      <c r="AH149" s="5"/>
      <c r="AI149" s="4" t="inlineStr">
        <is>
          <t>Non</t>
        </is>
      </c>
    </row>
    <row r="150" spans="1:37" x14ac:dyDescent="0.3">
      <c r="A150" s="3">
        <v>146</v>
      </c>
      <c r="B150" s="3" t="s">
        <v>211</v>
      </c>
      <c r="C150" s="3" t="s">
        <v>204</v>
      </c>
      <c r="D150" s="3">
        <v>2023</v>
      </c>
      <c r="E150" s="11">
        <v>45038</v>
      </c>
      <c r="F150" s="4" t="s">
        <v>59</v>
      </c>
      <c r="G150" s="4" t="s">
        <v>42</v>
      </c>
      <c r="H150" s="4">
        <v>29</v>
      </c>
      <c r="I150" s="4"/>
      <c r="J150" s="26" t="s">
        <v>58</v>
      </c>
      <c r="K150" s="27" t="s">
        <v>37</v>
      </c>
      <c r="L150" s="4"/>
      <c r="M150" s="4"/>
      <c r="N150" s="4"/>
      <c r="O150" s="4"/>
      <c r="P150" s="4"/>
      <c r="Q150" s="4"/>
      <c r="R150" s="4">
        <v>7.5</v>
      </c>
      <c r="S150" s="4">
        <v>0.5</v>
      </c>
      <c r="T150" s="4">
        <v>13.4</v>
      </c>
      <c r="U150" s="4">
        <v>20.3</v>
      </c>
      <c r="V150" s="4">
        <v>71.599999999999994</v>
      </c>
      <c r="W150" s="4">
        <v>8.1</v>
      </c>
      <c r="X150" s="4">
        <v>12.9</v>
      </c>
      <c r="Y150" s="4">
        <v>21.3</v>
      </c>
      <c r="Z150" s="28">
        <v>1.25</v>
      </c>
      <c r="AA150" s="4">
        <v>10.5</v>
      </c>
      <c r="AB150" s="4">
        <v>2.2000000000000002</v>
      </c>
      <c r="AC150" s="4">
        <v>4</v>
      </c>
      <c r="AD150" s="4"/>
      <c r="AE150" s="4">
        <v>78</v>
      </c>
      <c r="AF150" s="4"/>
      <c r="AG150" s="5">
        <v>3.845</v>
      </c>
      <c r="AH150" s="5"/>
      <c r="AI150" s="4" t="inlineStr">
        <is>
          <t>Non</t>
        </is>
      </c>
    </row>
    <row r="151" spans="1:37" x14ac:dyDescent="0.3">
      <c r="A151" s="3">
        <v>147</v>
      </c>
      <c r="B151" s="3" t="s">
        <v>211</v>
      </c>
      <c r="C151" s="3" t="s">
        <v>204</v>
      </c>
      <c r="D151" s="3">
        <v>2024</v>
      </c>
      <c r="E151" s="11">
        <v>45343</v>
      </c>
      <c r="F151" s="4" t="s">
        <v>59</v>
      </c>
      <c r="G151" s="4" t="s">
        <v>42</v>
      </c>
      <c r="H151" s="4">
        <v>39</v>
      </c>
      <c r="I151" s="4"/>
      <c r="J151" s="26" t="s">
        <v>58</v>
      </c>
      <c r="K151" s="27" t="s">
        <v>37</v>
      </c>
      <c r="L151" s="4"/>
      <c r="M151" s="4"/>
      <c r="N151" s="4"/>
      <c r="O151" s="4"/>
      <c r="P151" s="4"/>
      <c r="Q151" s="4"/>
      <c r="R151" s="4">
        <v>7.5</v>
      </c>
      <c r="S151" s="4">
        <v>0.5</v>
      </c>
      <c r="T151" s="4">
        <v>13.4</v>
      </c>
      <c r="U151" s="4">
        <v>20.3</v>
      </c>
      <c r="V151" s="4">
        <v>71.599999999999994</v>
      </c>
      <c r="W151" s="4">
        <v>8.1</v>
      </c>
      <c r="X151" s="4">
        <v>12.9</v>
      </c>
      <c r="Y151" s="4">
        <v>21.3</v>
      </c>
      <c r="Z151" s="28">
        <v>1.25</v>
      </c>
      <c r="AA151" s="4">
        <v>8.8000000000000007</v>
      </c>
      <c r="AB151" s="4">
        <v>4.7</v>
      </c>
      <c r="AC151" s="4">
        <v>11</v>
      </c>
      <c r="AD151" s="4"/>
      <c r="AE151" s="4">
        <v>90</v>
      </c>
      <c r="AF151" s="4"/>
      <c r="AG151" s="5">
        <v>5.171</v>
      </c>
      <c r="AH151" s="5"/>
      <c r="AI151" s="4" t="inlineStr">
        <is>
          <t>Non</t>
        </is>
      </c>
    </row>
    <row r="152" spans="1:37" x14ac:dyDescent="0.3">
      <c r="A152" s="3">
        <v>148</v>
      </c>
      <c r="B152" s="3" t="s">
        <v>211</v>
      </c>
      <c r="C152" s="3" t="s">
        <v>204</v>
      </c>
      <c r="D152" s="3">
        <v>2024</v>
      </c>
      <c r="E152" s="11">
        <v>45401</v>
      </c>
      <c r="F152" s="4" t="s">
        <v>30</v>
      </c>
      <c r="G152" s="4" t="s">
        <v>31</v>
      </c>
      <c r="H152" s="13">
        <v>121</v>
      </c>
      <c r="I152" s="29">
        <f>H152*0.408</f>
        <v>49.367999999999995</v>
      </c>
      <c r="J152" s="26" t="s">
        <v>36</v>
      </c>
      <c r="K152" s="27" t="s">
        <v>33</v>
      </c>
      <c r="L152" s="4"/>
      <c r="M152" s="4"/>
      <c r="N152" s="4"/>
      <c r="O152" s="4"/>
      <c r="P152" s="4">
        <v>2.2999999999999998</v>
      </c>
      <c r="Q152" s="28">
        <v>8.6</v>
      </c>
      <c r="R152" s="4">
        <v>7.5</v>
      </c>
      <c r="S152" s="4">
        <v>0.5</v>
      </c>
      <c r="T152" s="4">
        <v>13.4</v>
      </c>
      <c r="U152" s="4">
        <v>20.3</v>
      </c>
      <c r="V152" s="4">
        <v>71.599999999999994</v>
      </c>
      <c r="W152" s="4">
        <v>8.1</v>
      </c>
      <c r="X152" s="4">
        <v>12.9</v>
      </c>
      <c r="Y152" s="4">
        <v>21.3</v>
      </c>
      <c r="Z152" s="28">
        <v>1.25</v>
      </c>
      <c r="AA152" s="4">
        <v>8.6999999999999993</v>
      </c>
      <c r="AB152" s="4">
        <v>3.3</v>
      </c>
      <c r="AC152" s="4">
        <v>2.5</v>
      </c>
      <c r="AD152" s="4"/>
      <c r="AE152" s="4">
        <v>85</v>
      </c>
      <c r="AF152" s="4"/>
      <c r="AG152" s="5">
        <v>27.152</v>
      </c>
      <c r="AH152" s="5">
        <v>55.0</v>
      </c>
      <c r="AI152" s="4" t="inlineStr">
        <is>
          <t>Non</t>
        </is>
      </c>
    </row>
    <row r="153" spans="1:37" x14ac:dyDescent="0.3">
      <c r="A153" s="3">
        <v>149</v>
      </c>
      <c r="B153" s="3" t="s">
        <v>211</v>
      </c>
      <c r="C153" s="3" t="s">
        <v>204</v>
      </c>
      <c r="D153" s="3">
        <v>2024</v>
      </c>
      <c r="E153" s="11">
        <v>45443</v>
      </c>
      <c r="F153" s="4" t="s">
        <v>65</v>
      </c>
      <c r="G153" s="4" t="s">
        <v>45</v>
      </c>
      <c r="H153" s="4">
        <v>27</v>
      </c>
      <c r="I153" s="28">
        <f>H153*0.52</f>
        <v>14.040000000000001</v>
      </c>
      <c r="J153" s="26" t="s">
        <v>55</v>
      </c>
      <c r="K153" s="27" t="s">
        <v>37</v>
      </c>
      <c r="L153" s="4"/>
      <c r="M153" s="4"/>
      <c r="N153" s="4"/>
      <c r="O153" s="4"/>
      <c r="P153" s="4"/>
      <c r="Q153" s="4"/>
      <c r="R153" s="4">
        <v>7.5</v>
      </c>
      <c r="S153" s="4">
        <v>0.5</v>
      </c>
      <c r="T153" s="4">
        <v>13.4</v>
      </c>
      <c r="U153" s="4">
        <v>20.3</v>
      </c>
      <c r="V153" s="4">
        <v>71.599999999999994</v>
      </c>
      <c r="W153" s="4">
        <v>8.1</v>
      </c>
      <c r="X153" s="4">
        <v>12.9</v>
      </c>
      <c r="Y153" s="4">
        <v>21.3</v>
      </c>
      <c r="Z153" s="28">
        <v>1.25</v>
      </c>
      <c r="AA153" s="4">
        <v>12.8</v>
      </c>
      <c r="AB153" s="4">
        <v>2.8</v>
      </c>
      <c r="AC153" s="4">
        <v>8</v>
      </c>
      <c r="AD153" s="4"/>
      <c r="AE153" s="4">
        <v>91</v>
      </c>
      <c r="AF153" s="4"/>
      <c r="AG153" s="5">
        <v>1.156</v>
      </c>
      <c r="AH153" s="5"/>
      <c r="AI153" s="4" t="inlineStr">
        <is>
          <t>Non</t>
        </is>
      </c>
    </row>
    <row r="154" spans="1:37" x14ac:dyDescent="0.3">
      <c r="A154" s="3">
        <v>150</v>
      </c>
      <c r="B154" s="3" t="s">
        <v>211</v>
      </c>
      <c r="C154" s="3" t="s">
        <v>204</v>
      </c>
      <c r="D154" s="3">
        <v>2025</v>
      </c>
      <c r="E154" s="11">
        <v>45749</v>
      </c>
      <c r="F154" s="4" t="s">
        <v>41</v>
      </c>
      <c r="G154" s="4" t="s">
        <v>35</v>
      </c>
      <c r="H154" s="13">
        <v>135</v>
      </c>
      <c r="I154" s="28">
        <f>H154*0.4035</f>
        <v>54.472500000000004</v>
      </c>
      <c r="J154" s="26" t="s">
        <v>36</v>
      </c>
      <c r="K154" s="27" t="s">
        <v>37</v>
      </c>
      <c r="L154" s="4"/>
      <c r="M154" s="4"/>
      <c r="N154" s="4"/>
      <c r="O154" s="4"/>
      <c r="P154" s="28">
        <v>7.4</v>
      </c>
      <c r="Q154" s="28">
        <v>8.1</v>
      </c>
      <c r="R154" s="4">
        <v>7.5</v>
      </c>
      <c r="S154" s="4">
        <v>0.5</v>
      </c>
      <c r="T154" s="4">
        <v>13.4</v>
      </c>
      <c r="U154" s="4">
        <v>20.3</v>
      </c>
      <c r="V154" s="4">
        <v>71.599999999999994</v>
      </c>
      <c r="W154" s="4">
        <v>8.1</v>
      </c>
      <c r="X154" s="4">
        <v>12.9</v>
      </c>
      <c r="Y154" s="4">
        <v>21.3</v>
      </c>
      <c r="Z154" s="28">
        <v>1.25</v>
      </c>
      <c r="AA154" s="4">
        <v>11.1</v>
      </c>
      <c r="AB154" s="4">
        <v>3.7</v>
      </c>
      <c r="AC154" s="4">
        <v>0</v>
      </c>
      <c r="AD154" s="4"/>
      <c r="AE154" s="4">
        <v>58</v>
      </c>
      <c r="AF154" s="4"/>
      <c r="AG154" s="5">
        <v>29.96</v>
      </c>
      <c r="AH154" s="5">
        <v>55.0</v>
      </c>
      <c r="AI154" s="4" t="inlineStr">
        <is>
          <t>Non</t>
        </is>
      </c>
    </row>
    <row r="155" spans="1:37" x14ac:dyDescent="0.3">
      <c r="A155" s="3">
        <v>151</v>
      </c>
      <c r="B155" s="3" t="s">
        <v>211</v>
      </c>
      <c r="C155" s="3" t="s">
        <v>204</v>
      </c>
      <c r="D155" s="3">
        <v>2025</v>
      </c>
      <c r="E155" s="11">
        <v>45842</v>
      </c>
      <c r="F155" s="4" t="s">
        <v>44</v>
      </c>
      <c r="G155" s="4" t="s">
        <v>35</v>
      </c>
      <c r="H155" s="13">
        <v>123</v>
      </c>
      <c r="I155" s="28">
        <f>H155*0.5097</f>
        <v>62.693100000000008</v>
      </c>
      <c r="J155" s="26" t="s">
        <v>32</v>
      </c>
      <c r="K155" s="27" t="s">
        <v>37</v>
      </c>
      <c r="L155" s="4"/>
      <c r="M155" s="4"/>
      <c r="N155" s="4"/>
      <c r="O155" s="4"/>
      <c r="P155" s="28">
        <v>9.5</v>
      </c>
      <c r="Q155" s="28">
        <v>8.1</v>
      </c>
      <c r="R155" s="4">
        <v>7.5</v>
      </c>
      <c r="S155" s="4">
        <v>0.5</v>
      </c>
      <c r="T155" s="4">
        <v>13.4</v>
      </c>
      <c r="U155" s="4">
        <v>20.3</v>
      </c>
      <c r="V155" s="4">
        <v>71.599999999999994</v>
      </c>
      <c r="W155" s="4">
        <v>8.1</v>
      </c>
      <c r="X155" s="4">
        <v>12.9</v>
      </c>
      <c r="Y155" s="4">
        <v>21.3</v>
      </c>
      <c r="Z155" s="28">
        <v>1.25</v>
      </c>
      <c r="AA155" s="4">
        <v>19.8</v>
      </c>
      <c r="AB155" s="4">
        <v>1.3</v>
      </c>
      <c r="AC155" s="4">
        <v>0</v>
      </c>
      <c r="AD155" s="4"/>
      <c r="AE155" s="4">
        <v>49</v>
      </c>
      <c r="AF155" s="4"/>
      <c r="AG155" s="5">
        <v>34.481</v>
      </c>
      <c r="AH155" s="5">
        <v>55.0</v>
      </c>
      <c r="AI155" s="4" t="inlineStr">
        <is>
          <t>Oui</t>
        </is>
      </c>
      <c r="AJ155" s="4" t="inlineStr">
        <is>
          <t>à déterminer (uréase/nitrification)</t>
        </is>
      </c>
    </row>
    <row r="156" spans="1:37" x14ac:dyDescent="0.3">
      <c r="A156" s="3">
        <v>152</v>
      </c>
      <c r="B156" s="3" t="s">
        <v>211</v>
      </c>
      <c r="C156" s="3" t="s">
        <v>204</v>
      </c>
      <c r="D156" s="3">
        <v>2025</v>
      </c>
      <c r="E156" s="11">
        <v>45842</v>
      </c>
      <c r="F156" s="4" t="s">
        <v>76</v>
      </c>
      <c r="G156" s="4" t="inlineStr">
        <is>
          <t>Additif</t>
        </is>
      </c>
      <c r="H156" s="4">
        <v>0</v>
      </c>
      <c r="I156" s="4">
        <v>0</v>
      </c>
      <c r="J156" s="26" t="s">
        <v>32</v>
      </c>
      <c r="K156" s="27" t="s">
        <v>37</v>
      </c>
      <c r="L156" s="4"/>
      <c r="M156" s="4"/>
      <c r="N156" s="4"/>
      <c r="O156" s="4"/>
      <c r="P156" s="4"/>
      <c r="Q156" s="4"/>
      <c r="R156" s="4">
        <v>7.5</v>
      </c>
      <c r="S156" s="4">
        <v>0.5</v>
      </c>
      <c r="T156" s="4">
        <v>13.4</v>
      </c>
      <c r="U156" s="4">
        <v>20.3</v>
      </c>
      <c r="V156" s="4">
        <v>71.599999999999994</v>
      </c>
      <c r="W156" s="4">
        <v>8.1</v>
      </c>
      <c r="X156" s="4">
        <v>12.9</v>
      </c>
      <c r="Y156" s="4">
        <v>21.3</v>
      </c>
      <c r="Z156" s="28">
        <v>1.25</v>
      </c>
      <c r="AA156" s="4">
        <v>19.8</v>
      </c>
      <c r="AB156" s="4">
        <v>1.3</v>
      </c>
      <c r="AC156" s="4">
        <v>0</v>
      </c>
      <c r="AD156" s="4"/>
      <c r="AE156" s="4">
        <v>49</v>
      </c>
      <c r="AF156" s="4"/>
      <c r="AG156" s="5">
        <v>0.0</v>
      </c>
      <c r="AH156" s="5"/>
      <c r="AI156" s="4" t="inlineStr">
        <is>
          <t>Non</t>
        </is>
      </c>
      <c r="AK156" s="4" t="inlineStr">
        <is>
          <t>Inhibiteur (sans N) — non-émetteur, exclure du calcul EMEP</t>
        </is>
      </c>
    </row>
    <row r="157" spans="1:34" x14ac:dyDescent="0.3">
      <c r="A157" s="3"/>
      <c r="B157" s="3"/>
      <c r="C157" s="3"/>
      <c r="D157" s="3"/>
      <c r="E157" s="1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5"/>
      <c r="AH157" s="5"/>
    </row>
    <row r="158" spans="1:34" x14ac:dyDescent="0.3">
      <c r="A158" s="3"/>
      <c r="B158" s="3"/>
      <c r="C158" s="3"/>
      <c r="D158" s="3"/>
      <c r="E158" s="1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5"/>
      <c r="AH158" s="5"/>
    </row>
    <row r="159" spans="1:34" x14ac:dyDescent="0.3">
      <c r="A159" s="3"/>
      <c r="B159" s="3"/>
      <c r="C159" s="3"/>
      <c r="D159" s="3"/>
      <c r="E159" s="1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5"/>
      <c r="AH159" s="5"/>
    </row>
    <row r="160" spans="1:34" x14ac:dyDescent="0.3">
      <c r="A160" s="3"/>
      <c r="B160" s="3"/>
      <c r="C160" s="3"/>
      <c r="D160" s="3"/>
      <c r="E160" s="1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5"/>
      <c r="AH160" s="5"/>
    </row>
    <row r="161" spans="1:34" x14ac:dyDescent="0.3">
      <c r="A161" s="3"/>
      <c r="B161" s="3"/>
      <c r="C161" s="3"/>
      <c r="D161" s="3"/>
      <c r="E161" s="1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5"/>
      <c r="AH161" s="5"/>
    </row>
    <row r="162" spans="1:34" x14ac:dyDescent="0.3">
      <c r="A162" s="3"/>
      <c r="B162" s="3"/>
      <c r="C162" s="3"/>
      <c r="D162" s="3"/>
      <c r="E162" s="1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5"/>
      <c r="AH162" s="5"/>
    </row>
    <row r="163" spans="1:34" x14ac:dyDescent="0.3">
      <c r="A163" s="3"/>
      <c r="B163" s="3"/>
      <c r="C163" s="3"/>
      <c r="D163" s="3"/>
      <c r="E163" s="1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5"/>
      <c r="AH163" s="5"/>
    </row>
    <row r="164" spans="1:34" x14ac:dyDescent="0.3">
      <c r="A164" s="3"/>
      <c r="B164" s="3"/>
      <c r="C164" s="3"/>
      <c r="D164" s="3"/>
      <c r="E164" s="1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5"/>
      <c r="AH164" s="5"/>
    </row>
    <row r="165" spans="1:34" x14ac:dyDescent="0.3">
      <c r="A165" s="3"/>
      <c r="B165" s="3"/>
      <c r="C165" s="3"/>
      <c r="D165" s="3"/>
      <c r="E165" s="1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5"/>
      <c r="AH165" s="5"/>
    </row>
    <row r="166" spans="1:34" x14ac:dyDescent="0.3">
      <c r="A166" s="3"/>
      <c r="B166" s="3"/>
      <c r="C166" s="3"/>
      <c r="D166" s="3"/>
      <c r="E166" s="1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5"/>
      <c r="AH166" s="5"/>
    </row>
    <row r="167" spans="1:34" x14ac:dyDescent="0.3">
      <c r="A167" s="3"/>
      <c r="B167" s="3"/>
      <c r="C167" s="3"/>
      <c r="D167" s="3"/>
      <c r="E167" s="1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5"/>
      <c r="AH167" s="5"/>
    </row>
    <row r="168" spans="1:34" x14ac:dyDescent="0.3">
      <c r="A168" s="3"/>
      <c r="B168" s="3"/>
      <c r="C168" s="3"/>
      <c r="D168" s="3"/>
      <c r="E168" s="1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5"/>
      <c r="AH168" s="5"/>
    </row>
    <row r="169" spans="1:34" x14ac:dyDescent="0.3">
      <c r="A169" s="3"/>
      <c r="B169" s="3"/>
      <c r="C169" s="3"/>
      <c r="D169" s="3"/>
      <c r="E169" s="1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5"/>
      <c r="AH169" s="5"/>
    </row>
    <row r="170" spans="1:34" x14ac:dyDescent="0.3">
      <c r="A170" s="3"/>
      <c r="B170" s="3"/>
      <c r="C170" s="3"/>
      <c r="D170" s="3"/>
      <c r="E170" s="1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5"/>
      <c r="AH170" s="5"/>
    </row>
    <row r="171" spans="1:34" x14ac:dyDescent="0.3">
      <c r="A171" s="3"/>
      <c r="B171" s="3"/>
      <c r="C171" s="3"/>
      <c r="D171" s="3"/>
      <c r="E171" s="1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5"/>
      <c r="AH171" s="5"/>
    </row>
    <row r="172" spans="1:34" x14ac:dyDescent="0.3">
      <c r="A172" s="3"/>
      <c r="B172" s="3"/>
      <c r="C172" s="3"/>
      <c r="D172" s="3"/>
      <c r="E172" s="1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5"/>
      <c r="AH172" s="5"/>
    </row>
    <row r="173" spans="1:34" x14ac:dyDescent="0.3">
      <c r="A173" s="3"/>
      <c r="B173" s="3"/>
      <c r="C173" s="3"/>
      <c r="D173" s="3"/>
      <c r="E173" s="1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5"/>
      <c r="AH173" s="5"/>
    </row>
    <row r="174" spans="1:34" x14ac:dyDescent="0.3">
      <c r="A174" s="3"/>
      <c r="B174" s="3"/>
      <c r="C174" s="3"/>
      <c r="D174" s="3"/>
      <c r="E174" s="1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5"/>
      <c r="AH174" s="5"/>
    </row>
    <row r="175" spans="1:34" x14ac:dyDescent="0.3">
      <c r="A175" s="3"/>
      <c r="B175" s="3"/>
      <c r="C175" s="3"/>
      <c r="D175" s="3"/>
      <c r="E175" s="1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5"/>
      <c r="AH175" s="5"/>
    </row>
    <row r="176" spans="1:34" x14ac:dyDescent="0.3">
      <c r="A176" s="3"/>
      <c r="B176" s="3"/>
      <c r="C176" s="3"/>
      <c r="D176" s="3"/>
      <c r="E176" s="1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5"/>
      <c r="AH176" s="5"/>
    </row>
    <row r="177" spans="1:34" x14ac:dyDescent="0.3">
      <c r="A177" s="3"/>
      <c r="B177" s="3"/>
      <c r="C177" s="3"/>
      <c r="D177" s="3"/>
      <c r="E177" s="1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5"/>
      <c r="AH177" s="5"/>
    </row>
    <row r="178" spans="1:34" x14ac:dyDescent="0.3">
      <c r="A178" s="3"/>
      <c r="B178" s="3"/>
      <c r="C178" s="3"/>
      <c r="D178" s="3"/>
      <c r="E178" s="1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5"/>
      <c r="AH178" s="5"/>
    </row>
    <row r="179" spans="1:34" x14ac:dyDescent="0.3">
      <c r="A179" s="3"/>
      <c r="B179" s="3"/>
      <c r="C179" s="3"/>
      <c r="D179" s="3"/>
      <c r="E179" s="1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5"/>
      <c r="AH179" s="5"/>
    </row>
    <row r="180" spans="1:34" x14ac:dyDescent="0.3">
      <c r="A180" s="3"/>
      <c r="B180" s="3"/>
      <c r="C180" s="3"/>
      <c r="D180" s="3"/>
      <c r="E180" s="1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5"/>
      <c r="AH180" s="5"/>
    </row>
    <row r="181" spans="1:34" x14ac:dyDescent="0.3">
      <c r="A181" s="3"/>
      <c r="B181" s="3"/>
      <c r="C181" s="3"/>
      <c r="D181" s="3"/>
      <c r="E181" s="1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5"/>
      <c r="AH181" s="5"/>
    </row>
    <row r="182" spans="1:34" x14ac:dyDescent="0.3">
      <c r="A182" s="3"/>
      <c r="B182" s="3"/>
      <c r="C182" s="3"/>
      <c r="D182" s="3"/>
      <c r="E182" s="1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5"/>
      <c r="AH182" s="5"/>
    </row>
    <row r="183" spans="1:34" x14ac:dyDescent="0.3">
      <c r="A183" s="3"/>
      <c r="B183" s="3"/>
      <c r="C183" s="3"/>
      <c r="D183" s="3"/>
      <c r="E183" s="1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5"/>
      <c r="AH183" s="5"/>
    </row>
    <row r="184" spans="1:34" x14ac:dyDescent="0.3">
      <c r="A184" s="3"/>
      <c r="B184" s="3"/>
      <c r="C184" s="3"/>
      <c r="D184" s="3"/>
      <c r="E184" s="1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5"/>
      <c r="AH184" s="5"/>
    </row>
    <row r="185" spans="1:34" x14ac:dyDescent="0.3">
      <c r="A185" s="3"/>
      <c r="B185" s="3"/>
      <c r="C185" s="3"/>
      <c r="D185" s="3"/>
      <c r="E185" s="1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5"/>
      <c r="AH185" s="5"/>
    </row>
    <row r="186" spans="1:34" x14ac:dyDescent="0.3">
      <c r="A186" s="3"/>
      <c r="B186" s="3"/>
      <c r="C186" s="3"/>
      <c r="D186" s="3"/>
      <c r="E186" s="1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5"/>
      <c r="AH186" s="5"/>
    </row>
    <row r="187" spans="1:34" x14ac:dyDescent="0.3">
      <c r="A187" s="3"/>
      <c r="B187" s="3"/>
      <c r="C187" s="3"/>
      <c r="D187" s="3"/>
      <c r="E187" s="1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5"/>
      <c r="AH187" s="5"/>
    </row>
    <row r="188" spans="1:34" x14ac:dyDescent="0.3">
      <c r="A188" s="3"/>
      <c r="B188" s="3"/>
      <c r="C188" s="3"/>
      <c r="D188" s="3"/>
      <c r="E188" s="1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5"/>
      <c r="AH188" s="5"/>
    </row>
    <row r="189" spans="1:34" x14ac:dyDescent="0.3">
      <c r="A189" s="3"/>
      <c r="B189" s="3"/>
      <c r="C189" s="3"/>
      <c r="D189" s="3"/>
      <c r="E189" s="1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5"/>
      <c r="AH189" s="5"/>
    </row>
    <row r="190" spans="1:34" x14ac:dyDescent="0.3">
      <c r="A190" s="3"/>
      <c r="B190" s="3"/>
      <c r="C190" s="3"/>
      <c r="D190" s="3"/>
      <c r="E190" s="1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5"/>
      <c r="AH190" s="5"/>
    </row>
    <row r="191" spans="1:34" x14ac:dyDescent="0.3">
      <c r="A191" s="3"/>
      <c r="B191" s="3"/>
      <c r="C191" s="3"/>
      <c r="D191" s="3"/>
      <c r="E191" s="1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5"/>
      <c r="AH191" s="5"/>
    </row>
    <row r="192" spans="1:34" x14ac:dyDescent="0.3">
      <c r="A192" s="3"/>
      <c r="B192" s="3"/>
      <c r="C192" s="3"/>
      <c r="D192" s="3"/>
      <c r="E192" s="1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5"/>
      <c r="AH192" s="5"/>
    </row>
    <row r="193" spans="1:34" x14ac:dyDescent="0.3">
      <c r="A193" s="3"/>
      <c r="B193" s="3"/>
      <c r="C193" s="3"/>
      <c r="D193" s="3"/>
      <c r="E193" s="1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5"/>
      <c r="AH193" s="5"/>
    </row>
    <row r="194" spans="1:34" x14ac:dyDescent="0.3">
      <c r="A194" s="3"/>
      <c r="B194" s="3"/>
      <c r="C194" s="3"/>
      <c r="D194" s="3"/>
      <c r="E194" s="1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5"/>
      <c r="AH194" s="5"/>
    </row>
    <row r="195" spans="1:34" x14ac:dyDescent="0.3">
      <c r="A195" s="3"/>
      <c r="B195" s="3"/>
      <c r="C195" s="3"/>
      <c r="D195" s="3"/>
      <c r="E195" s="1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5"/>
      <c r="AH195" s="5"/>
    </row>
    <row r="196" spans="1:34" x14ac:dyDescent="0.3">
      <c r="A196" s="3"/>
      <c r="B196" s="3"/>
      <c r="C196" s="3"/>
      <c r="D196" s="3"/>
      <c r="E196" s="1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5"/>
      <c r="AH196" s="5"/>
    </row>
    <row r="197" spans="1:34" x14ac:dyDescent="0.3">
      <c r="A197" s="3"/>
      <c r="B197" s="3"/>
      <c r="C197" s="3"/>
      <c r="D197" s="3"/>
      <c r="E197" s="1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5"/>
      <c r="AH197" s="5"/>
    </row>
    <row r="198" spans="1:34" x14ac:dyDescent="0.3">
      <c r="A198" s="3"/>
      <c r="B198" s="3"/>
      <c r="C198" s="3"/>
      <c r="D198" s="3"/>
      <c r="E198" s="1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5"/>
      <c r="AH198" s="5"/>
    </row>
    <row r="199" spans="1:34" x14ac:dyDescent="0.3">
      <c r="A199" s="3"/>
      <c r="B199" s="3"/>
      <c r="C199" s="3"/>
      <c r="D199" s="3"/>
      <c r="E199" s="1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5"/>
      <c r="AH199" s="5"/>
    </row>
    <row r="200" spans="1:34" x14ac:dyDescent="0.3">
      <c r="A200" s="3"/>
      <c r="B200" s="3"/>
      <c r="C200" s="3"/>
      <c r="D200" s="3"/>
      <c r="E200" s="1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5"/>
      <c r="AH200" s="5"/>
    </row>
    <row r="201" spans="1:34" x14ac:dyDescent="0.3">
      <c r="A201" s="3"/>
      <c r="B201" s="3"/>
      <c r="C201" s="3"/>
      <c r="D201" s="3"/>
      <c r="E201" s="1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5"/>
      <c r="AH201" s="5"/>
    </row>
    <row r="202" spans="1:34" x14ac:dyDescent="0.3">
      <c r="A202" s="3"/>
      <c r="B202" s="3"/>
      <c r="C202" s="3"/>
      <c r="D202" s="3"/>
      <c r="E202" s="1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5"/>
      <c r="AH202" s="5"/>
    </row>
    <row r="203" spans="1:34" x14ac:dyDescent="0.3">
      <c r="A203" s="3"/>
      <c r="B203" s="3"/>
      <c r="C203" s="3"/>
      <c r="D203" s="3"/>
      <c r="E203" s="1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5"/>
      <c r="AH203" s="5"/>
    </row>
    <row r="204" spans="1:34" x14ac:dyDescent="0.3">
      <c r="A204" s="3"/>
      <c r="B204" s="3"/>
      <c r="C204" s="3"/>
      <c r="D204" s="3"/>
      <c r="E204" s="1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5"/>
      <c r="AH204" s="5"/>
    </row>
    <row r="205" spans="1:34" x14ac:dyDescent="0.3">
      <c r="A205" s="3"/>
      <c r="B205" s="3"/>
      <c r="C205" s="3"/>
      <c r="D205" s="3"/>
      <c r="E205" s="1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5"/>
      <c r="AH205" s="5"/>
    </row>
    <row r="206" spans="1:34" x14ac:dyDescent="0.3">
      <c r="A206" s="3"/>
      <c r="B206" s="3"/>
      <c r="C206" s="3"/>
      <c r="D206" s="3"/>
      <c r="E206" s="1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5"/>
      <c r="AH206" s="5"/>
    </row>
    <row r="207" spans="1:34" x14ac:dyDescent="0.3">
      <c r="A207" s="3"/>
      <c r="B207" s="3"/>
      <c r="C207" s="3"/>
      <c r="D207" s="3"/>
      <c r="E207" s="1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5"/>
      <c r="AH207" s="5"/>
    </row>
    <row r="208" spans="1:34" x14ac:dyDescent="0.3">
      <c r="A208" s="3"/>
      <c r="B208" s="3"/>
      <c r="C208" s="3"/>
      <c r="D208" s="3"/>
      <c r="E208" s="1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5"/>
      <c r="AH208" s="5"/>
    </row>
    <row r="209" spans="1:34" x14ac:dyDescent="0.3">
      <c r="A209" s="3"/>
      <c r="B209" s="3"/>
      <c r="C209" s="3"/>
      <c r="D209" s="3"/>
      <c r="E209" s="1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5"/>
      <c r="AH209" s="5"/>
    </row>
    <row r="210" spans="1:34" x14ac:dyDescent="0.3">
      <c r="A210" s="3"/>
      <c r="B210" s="3"/>
      <c r="C210" s="3"/>
      <c r="D210" s="3"/>
      <c r="E210" s="1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5"/>
      <c r="AH210" s="5"/>
    </row>
    <row r="211" spans="1:34" x14ac:dyDescent="0.3">
      <c r="A211" s="3"/>
      <c r="B211" s="3"/>
      <c r="C211" s="3"/>
      <c r="D211" s="3"/>
      <c r="E211" s="1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5"/>
      <c r="AH211" s="5"/>
    </row>
    <row r="212" spans="1:34" x14ac:dyDescent="0.3">
      <c r="A212" s="3"/>
      <c r="B212" s="3"/>
      <c r="C212" s="3"/>
      <c r="D212" s="3"/>
      <c r="E212" s="1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5"/>
      <c r="AH212" s="5"/>
    </row>
    <row r="213" spans="1:34" x14ac:dyDescent="0.3">
      <c r="A213" s="3"/>
      <c r="B213" s="3"/>
      <c r="C213" s="3"/>
      <c r="D213" s="3"/>
      <c r="E213" s="1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5"/>
      <c r="AH213" s="5"/>
    </row>
    <row r="214" spans="1:34" x14ac:dyDescent="0.3">
      <c r="A214" s="3"/>
      <c r="B214" s="3"/>
      <c r="C214" s="3"/>
      <c r="D214" s="3"/>
      <c r="E214" s="1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5"/>
      <c r="AH214" s="5"/>
    </row>
    <row r="215" spans="1:34" x14ac:dyDescent="0.3">
      <c r="A215" s="3"/>
      <c r="B215" s="3"/>
      <c r="C215" s="3"/>
      <c r="D215" s="3"/>
      <c r="E215" s="1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5"/>
      <c r="AH215" s="5"/>
    </row>
    <row r="216" spans="1:34" x14ac:dyDescent="0.3">
      <c r="A216" s="3"/>
      <c r="B216" s="3"/>
      <c r="C216" s="3"/>
      <c r="D216" s="3"/>
      <c r="E216" s="1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5"/>
      <c r="AH216" s="5"/>
    </row>
    <row r="217" spans="1:34" x14ac:dyDescent="0.3">
      <c r="A217" s="3"/>
      <c r="B217" s="3"/>
      <c r="C217" s="3"/>
      <c r="D217" s="3"/>
      <c r="E217" s="1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5"/>
      <c r="AH217" s="5"/>
    </row>
    <row r="218" spans="1:34" x14ac:dyDescent="0.3">
      <c r="A218" s="3"/>
      <c r="B218" s="3"/>
      <c r="C218" s="3"/>
      <c r="D218" s="3"/>
      <c r="E218" s="1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5"/>
      <c r="AH218" s="5"/>
    </row>
    <row r="219" spans="1:34" x14ac:dyDescent="0.3">
      <c r="A219" s="3"/>
      <c r="B219" s="3"/>
      <c r="C219" s="3"/>
      <c r="D219" s="3"/>
      <c r="E219" s="1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5"/>
      <c r="AH219" s="5"/>
    </row>
    <row r="220" spans="1:34" x14ac:dyDescent="0.3">
      <c r="A220" s="3"/>
      <c r="B220" s="3"/>
      <c r="C220" s="3"/>
      <c r="D220" s="3"/>
      <c r="E220" s="1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5"/>
      <c r="AH220" s="5"/>
    </row>
    <row r="221" spans="1:34" x14ac:dyDescent="0.3">
      <c r="A221" s="3"/>
      <c r="B221" s="3"/>
      <c r="C221" s="3"/>
      <c r="D221" s="3"/>
      <c r="E221" s="1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5"/>
      <c r="AH221" s="5"/>
    </row>
    <row r="222" spans="1:34" x14ac:dyDescent="0.3">
      <c r="A222" s="3"/>
      <c r="B222" s="3"/>
      <c r="C222" s="3"/>
      <c r="D222" s="3"/>
      <c r="E222" s="1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5"/>
      <c r="AH222" s="5"/>
    </row>
    <row r="223" spans="1:34" x14ac:dyDescent="0.3">
      <c r="A223" s="3"/>
      <c r="B223" s="3"/>
      <c r="C223" s="3"/>
      <c r="D223" s="3"/>
      <c r="E223" s="1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5"/>
      <c r="AH223" s="5"/>
    </row>
    <row r="224" spans="1:34" x14ac:dyDescent="0.3">
      <c r="A224" s="3"/>
      <c r="B224" s="3"/>
      <c r="C224" s="3"/>
      <c r="D224" s="3"/>
      <c r="E224" s="1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5"/>
      <c r="AH224" s="5"/>
    </row>
    <row r="225" spans="1:34" x14ac:dyDescent="0.3">
      <c r="A225" s="3"/>
      <c r="B225" s="3"/>
      <c r="C225" s="3"/>
      <c r="D225" s="3"/>
      <c r="E225" s="1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5"/>
      <c r="AH225" s="5"/>
    </row>
    <row r="226" spans="1:34" x14ac:dyDescent="0.3">
      <c r="A226" s="3"/>
      <c r="B226" s="3"/>
      <c r="C226" s="3"/>
      <c r="D226" s="3"/>
      <c r="E226" s="1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5"/>
      <c r="AH226" s="5"/>
    </row>
    <row r="227" spans="1:34" x14ac:dyDescent="0.3">
      <c r="A227" s="3"/>
      <c r="B227" s="3"/>
      <c r="C227" s="3"/>
      <c r="D227" s="3"/>
      <c r="E227" s="1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5"/>
      <c r="AH227" s="5"/>
    </row>
    <row r="228" spans="1:34" x14ac:dyDescent="0.3">
      <c r="A228" s="3"/>
      <c r="B228" s="3"/>
      <c r="C228" s="3"/>
      <c r="D228" s="3"/>
      <c r="E228" s="1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5"/>
      <c r="AH228" s="5"/>
    </row>
    <row r="229" spans="1:34" x14ac:dyDescent="0.3">
      <c r="A229" s="3"/>
      <c r="B229" s="3"/>
      <c r="C229" s="3"/>
      <c r="D229" s="3"/>
      <c r="E229" s="1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5"/>
      <c r="AH229" s="5"/>
    </row>
    <row r="230" spans="1:34" x14ac:dyDescent="0.3">
      <c r="A230" s="3"/>
      <c r="B230" s="3"/>
      <c r="C230" s="3"/>
      <c r="D230" s="3"/>
      <c r="E230" s="1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5"/>
      <c r="AH230" s="5"/>
    </row>
    <row r="231" spans="1:34" x14ac:dyDescent="0.3">
      <c r="A231" s="3"/>
      <c r="B231" s="3"/>
      <c r="C231" s="3"/>
      <c r="D231" s="3"/>
      <c r="E231" s="1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5"/>
      <c r="AH231" s="5"/>
    </row>
    <row r="232" spans="1:34" x14ac:dyDescent="0.3">
      <c r="A232" s="3"/>
      <c r="B232" s="3"/>
      <c r="C232" s="3"/>
      <c r="D232" s="3"/>
      <c r="E232" s="1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5"/>
      <c r="AH232" s="5"/>
    </row>
    <row r="233" spans="1:34" x14ac:dyDescent="0.3">
      <c r="A233" s="3"/>
      <c r="B233" s="3"/>
      <c r="C233" s="3"/>
      <c r="D233" s="3"/>
      <c r="E233" s="1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5"/>
      <c r="AH233" s="5"/>
    </row>
    <row r="234" spans="1:34" x14ac:dyDescent="0.3">
      <c r="A234" s="3"/>
      <c r="B234" s="3"/>
      <c r="C234" s="3"/>
      <c r="D234" s="3"/>
      <c r="E234" s="1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5"/>
      <c r="AH234" s="5"/>
    </row>
    <row r="235" spans="1:34" x14ac:dyDescent="0.3">
      <c r="A235" s="3"/>
      <c r="B235" s="3"/>
      <c r="C235" s="3"/>
      <c r="D235" s="3"/>
      <c r="E235" s="1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5"/>
      <c r="AH235" s="5"/>
    </row>
    <row r="236" spans="1:34" x14ac:dyDescent="0.3">
      <c r="A236" s="3"/>
      <c r="B236" s="3"/>
      <c r="C236" s="3"/>
      <c r="D236" s="3"/>
      <c r="E236" s="1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5"/>
      <c r="AH236" s="5"/>
    </row>
    <row r="237" spans="1:34" x14ac:dyDescent="0.3">
      <c r="A237" s="3"/>
      <c r="B237" s="3"/>
      <c r="C237" s="3"/>
      <c r="D237" s="3"/>
      <c r="E237" s="1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5"/>
      <c r="AH237" s="5"/>
    </row>
    <row r="238" spans="1:34" x14ac:dyDescent="0.3">
      <c r="A238" s="3"/>
      <c r="B238" s="3"/>
      <c r="C238" s="3"/>
      <c r="D238" s="3"/>
      <c r="E238" s="1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5"/>
      <c r="AH238" s="5"/>
    </row>
    <row r="239" spans="1:34" x14ac:dyDescent="0.3">
      <c r="A239" s="3"/>
      <c r="B239" s="3"/>
      <c r="C239" s="3"/>
      <c r="D239" s="3"/>
      <c r="E239" s="1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5"/>
      <c r="AH239" s="5"/>
    </row>
    <row r="240" spans="1:34" x14ac:dyDescent="0.3">
      <c r="A240" s="3"/>
      <c r="B240" s="3"/>
      <c r="C240" s="3"/>
      <c r="D240" s="3"/>
      <c r="E240" s="1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5"/>
      <c r="AH240" s="5"/>
    </row>
    <row r="241" spans="1:34" x14ac:dyDescent="0.3">
      <c r="A241" s="3"/>
      <c r="B241" s="3"/>
      <c r="C241" s="3"/>
      <c r="D241" s="3"/>
      <c r="E241" s="1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5"/>
      <c r="AH241" s="5"/>
    </row>
    <row r="242" spans="1:34" x14ac:dyDescent="0.3">
      <c r="A242" s="3"/>
      <c r="B242" s="3"/>
      <c r="C242" s="3"/>
      <c r="D242" s="3"/>
      <c r="E242" s="1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5"/>
      <c r="AH242" s="5"/>
    </row>
    <row r="243" spans="1:34" x14ac:dyDescent="0.3">
      <c r="A243" s="3"/>
      <c r="B243" s="3"/>
      <c r="C243" s="3"/>
      <c r="D243" s="3"/>
      <c r="E243" s="1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5"/>
      <c r="AH243" s="5"/>
    </row>
    <row r="244" spans="1:34" x14ac:dyDescent="0.3">
      <c r="A244" s="3"/>
      <c r="B244" s="3"/>
      <c r="C244" s="3"/>
      <c r="D244" s="3"/>
      <c r="E244" s="1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5"/>
      <c r="AH244" s="5"/>
    </row>
    <row r="245" spans="1:34" x14ac:dyDescent="0.3">
      <c r="A245" s="3"/>
      <c r="B245" s="3"/>
      <c r="C245" s="3"/>
      <c r="D245" s="3"/>
      <c r="E245" s="1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5"/>
      <c r="AH245" s="5"/>
    </row>
    <row r="246" spans="1:34" x14ac:dyDescent="0.3">
      <c r="A246" s="3"/>
      <c r="B246" s="3"/>
      <c r="C246" s="3"/>
      <c r="D246" s="3"/>
      <c r="E246" s="1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5"/>
      <c r="AH246" s="5"/>
    </row>
    <row r="247" spans="1:34" x14ac:dyDescent="0.3">
      <c r="A247" s="3"/>
      <c r="B247" s="3"/>
      <c r="C247" s="3"/>
      <c r="D247" s="3"/>
      <c r="E247" s="1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5"/>
      <c r="AH247" s="5"/>
    </row>
    <row r="248" spans="1:34" x14ac:dyDescent="0.3">
      <c r="A248" s="3"/>
      <c r="B248" s="3"/>
      <c r="C248" s="3"/>
      <c r="D248" s="3"/>
      <c r="E248" s="1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5"/>
      <c r="AH248" s="5"/>
    </row>
    <row r="249" spans="1:34" x14ac:dyDescent="0.3">
      <c r="A249" s="3"/>
      <c r="B249" s="3"/>
      <c r="C249" s="3"/>
      <c r="D249" s="3"/>
      <c r="E249" s="1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5"/>
      <c r="AH249" s="5"/>
    </row>
    <row r="250" spans="1:34" x14ac:dyDescent="0.3">
      <c r="A250" s="3"/>
      <c r="B250" s="3"/>
      <c r="C250" s="3"/>
      <c r="D250" s="3"/>
      <c r="E250" s="1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5"/>
      <c r="AH250" s="5"/>
    </row>
    <row r="251" spans="1:34" x14ac:dyDescent="0.3">
      <c r="A251" s="3"/>
      <c r="B251" s="3"/>
      <c r="C251" s="3"/>
      <c r="D251" s="3"/>
      <c r="E251" s="1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5"/>
      <c r="AH251" s="5"/>
    </row>
    <row r="252" spans="1:34" x14ac:dyDescent="0.3">
      <c r="A252" s="3"/>
      <c r="B252" s="3"/>
      <c r="C252" s="3"/>
      <c r="D252" s="3"/>
      <c r="E252" s="1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5"/>
      <c r="AH252" s="5"/>
    </row>
    <row r="253" spans="1:34" x14ac:dyDescent="0.3">
      <c r="A253" s="3"/>
      <c r="B253" s="3"/>
      <c r="C253" s="3"/>
      <c r="D253" s="3"/>
      <c r="E253" s="1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5"/>
      <c r="AH253" s="5"/>
    </row>
    <row r="254" spans="1:34" x14ac:dyDescent="0.3">
      <c r="A254" s="3"/>
      <c r="B254" s="3"/>
      <c r="C254" s="3"/>
      <c r="D254" s="3"/>
      <c r="E254" s="1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5"/>
      <c r="AH254" s="5"/>
    </row>
    <row r="255" spans="1:34" x14ac:dyDescent="0.3">
      <c r="A255" s="3"/>
      <c r="B255" s="3"/>
      <c r="C255" s="3"/>
      <c r="D255" s="3"/>
      <c r="E255" s="1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5"/>
      <c r="AH255" s="5"/>
    </row>
    <row r="256" spans="1:34" x14ac:dyDescent="0.3">
      <c r="A256" s="3"/>
      <c r="B256" s="3"/>
      <c r="C256" s="3"/>
      <c r="D256" s="3"/>
      <c r="E256" s="1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5"/>
      <c r="AH256" s="5"/>
    </row>
    <row r="257" spans="1:34" x14ac:dyDescent="0.3">
      <c r="A257" s="3"/>
      <c r="B257" s="3"/>
      <c r="C257" s="3"/>
      <c r="D257" s="3"/>
      <c r="E257" s="1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5"/>
      <c r="AH257" s="5"/>
    </row>
    <row r="258" spans="1:34" x14ac:dyDescent="0.3">
      <c r="A258" s="3"/>
      <c r="B258" s="3"/>
      <c r="C258" s="3"/>
      <c r="D258" s="3"/>
      <c r="E258" s="1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5"/>
      <c r="AH258" s="5"/>
    </row>
    <row r="259" spans="1:34" x14ac:dyDescent="0.3">
      <c r="A259" s="3"/>
      <c r="B259" s="3"/>
      <c r="C259" s="3"/>
      <c r="D259" s="3"/>
      <c r="E259" s="1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5"/>
      <c r="AH259" s="5"/>
    </row>
    <row r="260" spans="1:34" x14ac:dyDescent="0.3">
      <c r="A260" s="3"/>
      <c r="B260" s="3"/>
      <c r="C260" s="3"/>
      <c r="D260" s="3"/>
      <c r="E260" s="1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5"/>
      <c r="AH260" s="5"/>
    </row>
    <row r="261" spans="1:34" x14ac:dyDescent="0.3">
      <c r="A261" s="3"/>
      <c r="B261" s="3"/>
      <c r="C261" s="3"/>
      <c r="D261" s="3"/>
      <c r="E261" s="1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5"/>
      <c r="AH261" s="5"/>
    </row>
    <row r="262" spans="1:34" x14ac:dyDescent="0.3">
      <c r="A262" s="3"/>
      <c r="B262" s="3"/>
      <c r="C262" s="3"/>
      <c r="D262" s="3"/>
      <c r="E262" s="1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5"/>
      <c r="AH262" s="5"/>
    </row>
    <row r="263" spans="1:34" x14ac:dyDescent="0.3">
      <c r="A263" s="3"/>
      <c r="B263" s="3"/>
      <c r="C263" s="3"/>
      <c r="D263" s="3"/>
      <c r="E263" s="1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5"/>
      <c r="AH263" s="5"/>
    </row>
    <row r="264" spans="1:34" x14ac:dyDescent="0.3">
      <c r="A264" s="3"/>
      <c r="B264" s="3"/>
      <c r="C264" s="3"/>
      <c r="D264" s="3"/>
      <c r="E264" s="1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5"/>
      <c r="AH264" s="5"/>
    </row>
    <row r="265" spans="1:34" x14ac:dyDescent="0.3">
      <c r="A265" s="3"/>
      <c r="B265" s="3"/>
      <c r="C265" s="3"/>
      <c r="D265" s="3"/>
      <c r="E265" s="1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5"/>
      <c r="AH265" s="5"/>
    </row>
    <row r="266" spans="1:34" x14ac:dyDescent="0.3">
      <c r="A266" s="3"/>
      <c r="B266" s="3"/>
      <c r="C266" s="3"/>
      <c r="D266" s="3"/>
      <c r="E266" s="1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5"/>
      <c r="AH266" s="5"/>
    </row>
    <row r="267" spans="1:34" x14ac:dyDescent="0.3">
      <c r="A267" s="3"/>
      <c r="B267" s="3"/>
      <c r="C267" s="3"/>
      <c r="D267" s="3"/>
      <c r="E267" s="1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5"/>
      <c r="AH267" s="5"/>
    </row>
    <row r="268" spans="1:34" x14ac:dyDescent="0.3">
      <c r="A268" s="3"/>
      <c r="B268" s="3"/>
      <c r="C268" s="3"/>
      <c r="D268" s="3"/>
      <c r="E268" s="1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5"/>
      <c r="AH268" s="5"/>
    </row>
    <row r="269" spans="1:34" x14ac:dyDescent="0.3">
      <c r="A269" s="3"/>
      <c r="B269" s="3"/>
      <c r="C269" s="3"/>
      <c r="D269" s="3"/>
      <c r="E269" s="1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5"/>
      <c r="AH269" s="5"/>
    </row>
    <row r="270" spans="1:34" x14ac:dyDescent="0.3">
      <c r="A270" s="3"/>
      <c r="B270" s="3"/>
      <c r="C270" s="3"/>
      <c r="D270" s="3"/>
      <c r="E270" s="1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5"/>
      <c r="AH270" s="5"/>
    </row>
    <row r="271" spans="1:34" x14ac:dyDescent="0.3">
      <c r="A271" s="3"/>
      <c r="B271" s="3"/>
      <c r="C271" s="3"/>
      <c r="D271" s="3"/>
      <c r="E271" s="1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5"/>
      <c r="AH271" s="5"/>
    </row>
    <row r="272" spans="1:34" x14ac:dyDescent="0.3">
      <c r="A272" s="3"/>
      <c r="B272" s="3"/>
      <c r="C272" s="3"/>
      <c r="D272" s="3"/>
      <c r="E272" s="1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5"/>
      <c r="AH272" s="5"/>
    </row>
    <row r="273" spans="1:34" x14ac:dyDescent="0.3">
      <c r="A273" s="3"/>
      <c r="B273" s="3"/>
      <c r="C273" s="3"/>
      <c r="D273" s="3"/>
      <c r="E273" s="1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5"/>
      <c r="AH273" s="5"/>
    </row>
    <row r="274" spans="1:34" x14ac:dyDescent="0.3">
      <c r="A274" s="3"/>
      <c r="B274" s="3"/>
      <c r="C274" s="3"/>
      <c r="D274" s="3"/>
      <c r="E274" s="1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5"/>
      <c r="AH274" s="5"/>
    </row>
    <row r="275" spans="1:34" x14ac:dyDescent="0.3">
      <c r="A275" s="3"/>
      <c r="B275" s="3"/>
      <c r="C275" s="3"/>
      <c r="D275" s="3"/>
      <c r="E275" s="1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5"/>
      <c r="AH275" s="5"/>
    </row>
    <row r="276" spans="1:34" x14ac:dyDescent="0.3">
      <c r="A276" s="3"/>
      <c r="B276" s="3"/>
      <c r="C276" s="3"/>
      <c r="D276" s="3"/>
      <c r="E276" s="1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5"/>
      <c r="AH276" s="5"/>
    </row>
    <row r="277" spans="1:34" x14ac:dyDescent="0.3">
      <c r="A277" s="3"/>
      <c r="B277" s="3"/>
      <c r="C277" s="3"/>
      <c r="D277" s="3"/>
      <c r="E277" s="1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5"/>
      <c r="AH277" s="5"/>
    </row>
    <row r="278" spans="1:34" x14ac:dyDescent="0.3">
      <c r="A278" s="3"/>
      <c r="B278" s="3"/>
      <c r="C278" s="3"/>
      <c r="D278" s="3"/>
      <c r="E278" s="1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5"/>
      <c r="AH278" s="5"/>
    </row>
    <row r="279" spans="1:34" x14ac:dyDescent="0.3">
      <c r="A279" s="3"/>
      <c r="B279" s="3"/>
      <c r="C279" s="3"/>
      <c r="D279" s="3"/>
      <c r="E279" s="1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5"/>
      <c r="AH279" s="5"/>
    </row>
    <row r="280" spans="1:34" x14ac:dyDescent="0.3">
      <c r="A280" s="3"/>
      <c r="B280" s="3"/>
      <c r="C280" s="3"/>
      <c r="D280" s="3"/>
      <c r="E280" s="1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5"/>
      <c r="AH280" s="5"/>
    </row>
    <row r="281" spans="1:34" x14ac:dyDescent="0.3">
      <c r="A281" s="3"/>
      <c r="B281" s="3"/>
      <c r="C281" s="3"/>
      <c r="D281" s="3"/>
      <c r="E281" s="1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5"/>
      <c r="AH281" s="5"/>
    </row>
    <row r="282" spans="1:34" x14ac:dyDescent="0.3">
      <c r="A282" s="3"/>
      <c r="B282" s="3"/>
      <c r="C282" s="3"/>
      <c r="D282" s="3"/>
      <c r="E282" s="1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5"/>
      <c r="AH282" s="5"/>
    </row>
    <row r="283" spans="1:34" x14ac:dyDescent="0.3">
      <c r="A283" s="3"/>
      <c r="B283" s="3"/>
      <c r="C283" s="3"/>
      <c r="D283" s="3"/>
      <c r="E283" s="11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5"/>
      <c r="AH283" s="5"/>
    </row>
    <row r="284" spans="1:34" x14ac:dyDescent="0.3">
      <c r="A284" s="3"/>
      <c r="B284" s="3"/>
      <c r="C284" s="3"/>
      <c r="D284" s="3"/>
      <c r="E284" s="11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5"/>
      <c r="AH284" s="5"/>
    </row>
    <row r="285" spans="1:34" x14ac:dyDescent="0.3">
      <c r="A285" s="3"/>
      <c r="B285" s="3"/>
      <c r="C285" s="3"/>
      <c r="D285" s="3"/>
      <c r="E285" s="11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5"/>
      <c r="AH285" s="5"/>
    </row>
    <row r="286" spans="1:34" x14ac:dyDescent="0.3">
      <c r="A286" s="3"/>
      <c r="B286" s="3"/>
      <c r="C286" s="3"/>
      <c r="D286" s="3"/>
      <c r="E286" s="11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5"/>
      <c r="AH286" s="5"/>
    </row>
    <row r="287" spans="1:34" x14ac:dyDescent="0.3">
      <c r="A287" s="3"/>
      <c r="B287" s="3"/>
      <c r="C287" s="3"/>
      <c r="D287" s="3"/>
      <c r="E287" s="11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5"/>
      <c r="AH287" s="5"/>
    </row>
    <row r="288" spans="1:34" x14ac:dyDescent="0.3">
      <c r="A288" s="3"/>
      <c r="B288" s="3"/>
      <c r="C288" s="3"/>
      <c r="D288" s="3"/>
      <c r="E288" s="11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5"/>
      <c r="AH288" s="5"/>
    </row>
    <row r="289" spans="1:34" x14ac:dyDescent="0.3">
      <c r="A289" s="3"/>
      <c r="B289" s="3"/>
      <c r="C289" s="3"/>
      <c r="D289" s="3"/>
      <c r="E289" s="11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5"/>
      <c r="AH289" s="5"/>
    </row>
    <row r="290" spans="1:34" x14ac:dyDescent="0.3">
      <c r="A290" s="3"/>
      <c r="B290" s="3"/>
      <c r="C290" s="3"/>
      <c r="D290" s="3"/>
      <c r="E290" s="11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5"/>
      <c r="AH290" s="5"/>
    </row>
    <row r="291" spans="1:34" x14ac:dyDescent="0.3">
      <c r="A291" s="3"/>
      <c r="B291" s="3"/>
      <c r="C291" s="3"/>
      <c r="D291" s="3"/>
      <c r="E291" s="11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5"/>
      <c r="AH291" s="5"/>
    </row>
    <row r="292" spans="1:34" x14ac:dyDescent="0.3">
      <c r="A292" s="3"/>
      <c r="B292" s="3"/>
      <c r="C292" s="3"/>
      <c r="D292" s="3"/>
      <c r="E292" s="11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5"/>
      <c r="AH292" s="5"/>
    </row>
    <row r="293" spans="1:34" x14ac:dyDescent="0.3">
      <c r="A293" s="3"/>
      <c r="B293" s="3"/>
      <c r="C293" s="3"/>
      <c r="D293" s="3"/>
      <c r="E293" s="11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5"/>
      <c r="AH293" s="5"/>
    </row>
    <row r="294" spans="1:34" x14ac:dyDescent="0.3">
      <c r="A294" s="3"/>
      <c r="B294" s="3"/>
      <c r="C294" s="3"/>
      <c r="D294" s="3"/>
      <c r="E294" s="11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5"/>
      <c r="AH294" s="5"/>
    </row>
    <row r="295" spans="1:34" x14ac:dyDescent="0.3">
      <c r="A295" s="3"/>
      <c r="B295" s="3"/>
      <c r="C295" s="3"/>
      <c r="D295" s="3"/>
      <c r="E295" s="11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5"/>
      <c r="AH295" s="5"/>
    </row>
    <row r="296" spans="1:34" x14ac:dyDescent="0.3">
      <c r="A296" s="3"/>
      <c r="B296" s="3"/>
      <c r="C296" s="3"/>
      <c r="D296" s="3"/>
      <c r="E296" s="11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5"/>
      <c r="AH296" s="5"/>
    </row>
    <row r="297" spans="1:34" x14ac:dyDescent="0.3">
      <c r="A297" s="3"/>
      <c r="B297" s="3"/>
      <c r="C297" s="3"/>
      <c r="D297" s="3"/>
      <c r="E297" s="11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5"/>
      <c r="AH297" s="5"/>
    </row>
    <row r="298" spans="1:34" x14ac:dyDescent="0.3">
      <c r="A298" s="3"/>
      <c r="B298" s="3"/>
      <c r="C298" s="3"/>
      <c r="D298" s="3"/>
      <c r="E298" s="11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5"/>
      <c r="AH298" s="5"/>
    </row>
    <row r="299" spans="1:34" x14ac:dyDescent="0.3">
      <c r="A299" s="3"/>
      <c r="B299" s="3"/>
      <c r="C299" s="3"/>
      <c r="D299" s="3"/>
      <c r="E299" s="11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5"/>
      <c r="AH299" s="5"/>
    </row>
    <row r="300" spans="1:34" x14ac:dyDescent="0.3">
      <c r="A300" s="3"/>
      <c r="B300" s="3"/>
      <c r="C300" s="3"/>
      <c r="D300" s="3"/>
      <c r="E300" s="11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5"/>
      <c r="AH300" s="5"/>
    </row>
    <row r="301" spans="1:34" x14ac:dyDescent="0.3">
      <c r="A301" s="3"/>
      <c r="B301" s="3"/>
      <c r="C301" s="3"/>
      <c r="D301" s="3"/>
      <c r="E301" s="11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5"/>
      <c r="AH301" s="5"/>
    </row>
    <row r="302" spans="1:34" x14ac:dyDescent="0.3">
      <c r="A302" s="3"/>
      <c r="B302" s="3"/>
      <c r="C302" s="3"/>
      <c r="D302" s="3"/>
      <c r="E302" s="11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5"/>
      <c r="AH302" s="5"/>
    </row>
    <row r="303" spans="1:34" x14ac:dyDescent="0.3">
      <c r="A303" s="3"/>
      <c r="B303" s="3"/>
      <c r="C303" s="3"/>
      <c r="D303" s="3"/>
      <c r="E303" s="11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5"/>
      <c r="AH303" s="5"/>
    </row>
    <row r="304" spans="1:34" x14ac:dyDescent="0.3">
      <c r="A304" s="3"/>
      <c r="B304" s="3"/>
      <c r="C304" s="3"/>
      <c r="D304" s="3"/>
      <c r="E304" s="11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5"/>
      <c r="AH304" s="5"/>
    </row>
    <row r="305" spans="1:34" x14ac:dyDescent="0.3">
      <c r="A305" s="3"/>
      <c r="B305" s="3"/>
      <c r="C305" s="3"/>
      <c r="D305" s="3"/>
      <c r="E305" s="11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5"/>
      <c r="AH305" s="5"/>
    </row>
    <row r="306" spans="1:34" x14ac:dyDescent="0.3">
      <c r="A306" s="3"/>
      <c r="B306" s="3"/>
      <c r="C306" s="3"/>
      <c r="D306" s="3"/>
      <c r="E306" s="11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5"/>
      <c r="AH306" s="5"/>
    </row>
    <row r="307" spans="1:34" x14ac:dyDescent="0.3">
      <c r="A307" s="3"/>
      <c r="B307" s="3"/>
      <c r="C307" s="3"/>
      <c r="D307" s="3"/>
      <c r="E307" s="11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5"/>
      <c r="AH307" s="5"/>
    </row>
    <row r="308" spans="1:34" x14ac:dyDescent="0.3">
      <c r="A308" s="3"/>
      <c r="B308" s="3"/>
      <c r="C308" s="3"/>
      <c r="D308" s="3"/>
      <c r="E308" s="11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5"/>
      <c r="AH308" s="5"/>
    </row>
    <row r="309" spans="1:34" x14ac:dyDescent="0.3">
      <c r="A309" s="3"/>
      <c r="B309" s="3"/>
      <c r="C309" s="3"/>
      <c r="D309" s="3"/>
      <c r="E309" s="11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5"/>
      <c r="AH309" s="5"/>
    </row>
    <row r="310" spans="1:34" x14ac:dyDescent="0.3">
      <c r="A310" s="3"/>
      <c r="B310" s="3"/>
      <c r="C310" s="3"/>
      <c r="D310" s="3"/>
      <c r="E310" s="11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5"/>
      <c r="AH310" s="5"/>
    </row>
    <row r="311" spans="1:34" x14ac:dyDescent="0.3">
      <c r="A311" s="3"/>
      <c r="B311" s="3"/>
      <c r="C311" s="3"/>
      <c r="D311" s="3"/>
      <c r="E311" s="11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5"/>
      <c r="AH311" s="5"/>
    </row>
    <row r="312" spans="1:34" x14ac:dyDescent="0.3">
      <c r="A312" s="3"/>
      <c r="B312" s="3"/>
      <c r="C312" s="3"/>
      <c r="D312" s="3"/>
      <c r="E312" s="11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5"/>
      <c r="AH312" s="5"/>
    </row>
    <row r="313" spans="1:34" x14ac:dyDescent="0.3">
      <c r="A313" s="3"/>
      <c r="B313" s="3"/>
      <c r="C313" s="3"/>
      <c r="D313" s="3"/>
      <c r="E313" s="11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5"/>
      <c r="AH313" s="5"/>
    </row>
    <row r="314" spans="1:34" x14ac:dyDescent="0.3">
      <c r="A314" s="3"/>
      <c r="B314" s="3"/>
      <c r="C314" s="3"/>
      <c r="D314" s="3"/>
      <c r="E314" s="11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5"/>
      <c r="AH314" s="5"/>
    </row>
    <row r="315" spans="1:34" x14ac:dyDescent="0.3">
      <c r="A315" s="3"/>
      <c r="B315" s="3"/>
      <c r="C315" s="3"/>
      <c r="D315" s="3"/>
      <c r="E315" s="11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5"/>
      <c r="AH315" s="5"/>
    </row>
    <row r="316" spans="1:34" x14ac:dyDescent="0.3">
      <c r="A316" s="3"/>
      <c r="B316" s="3"/>
      <c r="C316" s="3"/>
      <c r="D316" s="3"/>
      <c r="E316" s="11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5"/>
      <c r="AH316" s="5"/>
    </row>
    <row r="317" spans="1:34" x14ac:dyDescent="0.3">
      <c r="A317" s="3"/>
      <c r="B317" s="3"/>
      <c r="C317" s="3"/>
      <c r="D317" s="3"/>
      <c r="E317" s="11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5"/>
      <c r="AH317" s="5"/>
    </row>
    <row r="318" spans="1:34" x14ac:dyDescent="0.3">
      <c r="A318" s="3"/>
      <c r="B318" s="3"/>
      <c r="C318" s="3"/>
      <c r="D318" s="3"/>
      <c r="E318" s="11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5"/>
      <c r="AH318" s="5"/>
    </row>
    <row r="319" spans="1:34" x14ac:dyDescent="0.3">
      <c r="A319" s="3"/>
      <c r="B319" s="3"/>
      <c r="C319" s="3"/>
      <c r="D319" s="3"/>
      <c r="E319" s="11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5"/>
      <c r="AH319" s="5"/>
    </row>
    <row r="320" spans="1:34" x14ac:dyDescent="0.3">
      <c r="A320" s="3"/>
      <c r="B320" s="3"/>
      <c r="C320" s="3"/>
      <c r="D320" s="3"/>
      <c r="E320" s="11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5"/>
      <c r="AH320" s="5"/>
    </row>
    <row r="321" spans="1:34" x14ac:dyDescent="0.3">
      <c r="A321" s="3"/>
      <c r="B321" s="3"/>
      <c r="C321" s="3"/>
      <c r="D321" s="3"/>
      <c r="E321" s="11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5"/>
      <c r="AH321" s="5"/>
    </row>
    <row r="322" spans="1:34" x14ac:dyDescent="0.3">
      <c r="A322" s="3"/>
      <c r="B322" s="3"/>
      <c r="C322" s="3"/>
      <c r="D322" s="3"/>
      <c r="E322" s="11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5"/>
      <c r="AH322" s="5"/>
    </row>
    <row r="323" spans="1:34" x14ac:dyDescent="0.3">
      <c r="A323" s="3"/>
      <c r="B323" s="3"/>
      <c r="C323" s="3"/>
      <c r="D323" s="3"/>
      <c r="E323" s="11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5"/>
      <c r="AH323" s="5"/>
    </row>
    <row r="324" spans="1:34" x14ac:dyDescent="0.3">
      <c r="A324" s="3"/>
      <c r="B324" s="3"/>
      <c r="C324" s="3"/>
      <c r="D324" s="3"/>
      <c r="E324" s="11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5"/>
      <c r="AH324" s="5"/>
    </row>
    <row r="325" spans="1:34" x14ac:dyDescent="0.3">
      <c r="A325" s="3"/>
      <c r="B325" s="3"/>
      <c r="C325" s="3"/>
      <c r="D325" s="3"/>
      <c r="E325" s="11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5"/>
      <c r="AH325" s="5"/>
    </row>
    <row r="326" spans="1:34" x14ac:dyDescent="0.3">
      <c r="A326" s="3"/>
      <c r="B326" s="3"/>
      <c r="C326" s="3"/>
      <c r="D326" s="3"/>
      <c r="E326" s="11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5"/>
      <c r="AH326" s="5"/>
    </row>
    <row r="327" spans="1:34" x14ac:dyDescent="0.3">
      <c r="A327" s="3"/>
      <c r="B327" s="3"/>
      <c r="C327" s="3"/>
      <c r="D327" s="3"/>
      <c r="E327" s="11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5"/>
      <c r="AH327" s="5"/>
    </row>
    <row r="328" spans="1:34" x14ac:dyDescent="0.3">
      <c r="A328" s="3"/>
      <c r="B328" s="3"/>
      <c r="C328" s="3"/>
      <c r="D328" s="3"/>
      <c r="E328" s="11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5"/>
      <c r="AH328" s="5"/>
    </row>
    <row r="329" spans="1:34" x14ac:dyDescent="0.3">
      <c r="A329" s="3"/>
      <c r="B329" s="3"/>
      <c r="C329" s="3"/>
      <c r="D329" s="3"/>
      <c r="E329" s="11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5"/>
      <c r="AH329" s="5"/>
    </row>
    <row r="330" spans="1:34" x14ac:dyDescent="0.3">
      <c r="A330" s="3"/>
      <c r="B330" s="3"/>
      <c r="C330" s="3"/>
      <c r="D330" s="3"/>
      <c r="E330" s="11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5"/>
      <c r="AH330" s="5"/>
    </row>
    <row r="331" spans="1:34" x14ac:dyDescent="0.3">
      <c r="A331" s="3"/>
      <c r="B331" s="3"/>
      <c r="C331" s="3"/>
      <c r="D331" s="3"/>
      <c r="E331" s="11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5"/>
      <c r="AH331" s="5"/>
    </row>
    <row r="332" spans="1:34" x14ac:dyDescent="0.3">
      <c r="A332" s="3"/>
      <c r="B332" s="3"/>
      <c r="C332" s="3"/>
      <c r="D332" s="3"/>
      <c r="E332" s="11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5"/>
      <c r="AH332" s="5"/>
    </row>
    <row r="333" spans="1:34" x14ac:dyDescent="0.3">
      <c r="A333" s="3"/>
      <c r="B333" s="3"/>
      <c r="C333" s="3"/>
      <c r="D333" s="3"/>
      <c r="E333" s="11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5"/>
      <c r="AH333" s="5"/>
    </row>
    <row r="334" spans="1:34" x14ac:dyDescent="0.3">
      <c r="A334" s="3"/>
      <c r="B334" s="3"/>
      <c r="C334" s="3"/>
      <c r="D334" s="3"/>
      <c r="E334" s="11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5"/>
      <c r="AH334" s="5"/>
    </row>
    <row r="335" spans="1:34" x14ac:dyDescent="0.3">
      <c r="A335" s="3"/>
      <c r="B335" s="3"/>
      <c r="C335" s="3"/>
      <c r="D335" s="3"/>
      <c r="E335" s="11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5"/>
      <c r="AH335" s="5"/>
    </row>
    <row r="336" spans="1:34" x14ac:dyDescent="0.3">
      <c r="A336" s="3"/>
      <c r="B336" s="3"/>
      <c r="C336" s="3"/>
      <c r="D336" s="3"/>
      <c r="E336" s="11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5"/>
      <c r="AH336" s="5"/>
    </row>
    <row r="337" spans="1:34" x14ac:dyDescent="0.3">
      <c r="A337" s="3"/>
      <c r="B337" s="3"/>
      <c r="C337" s="3"/>
      <c r="D337" s="3"/>
      <c r="E337" s="11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5"/>
      <c r="AH337" s="5"/>
    </row>
    <row r="338" spans="1:34" x14ac:dyDescent="0.3">
      <c r="A338" s="3"/>
      <c r="B338" s="3"/>
      <c r="C338" s="3"/>
      <c r="D338" s="3"/>
      <c r="E338" s="11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5"/>
      <c r="AH338" s="5"/>
    </row>
    <row r="339" spans="1:34" x14ac:dyDescent="0.3">
      <c r="A339" s="3"/>
      <c r="B339" s="3"/>
      <c r="C339" s="3"/>
      <c r="D339" s="3"/>
      <c r="E339" s="11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5"/>
      <c r="AH339" s="5"/>
    </row>
    <row r="340" spans="1:34" x14ac:dyDescent="0.3">
      <c r="A340" s="3"/>
      <c r="B340" s="3"/>
      <c r="C340" s="3"/>
      <c r="D340" s="3"/>
      <c r="E340" s="11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5"/>
      <c r="AH340" s="5"/>
    </row>
    <row r="341" spans="1:34" x14ac:dyDescent="0.3">
      <c r="A341" s="3"/>
      <c r="B341" s="3"/>
      <c r="C341" s="3"/>
      <c r="D341" s="3"/>
      <c r="E341" s="11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5"/>
      <c r="AH341" s="5"/>
    </row>
    <row r="342" spans="1:34" x14ac:dyDescent="0.3">
      <c r="A342" s="3"/>
      <c r="B342" s="3"/>
      <c r="C342" s="3"/>
      <c r="D342" s="3"/>
      <c r="E342" s="11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5"/>
      <c r="AH342" s="5"/>
    </row>
    <row r="343" spans="1:34" x14ac:dyDescent="0.3">
      <c r="A343" s="3"/>
      <c r="B343" s="3"/>
      <c r="C343" s="3"/>
      <c r="D343" s="3"/>
      <c r="E343" s="11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5"/>
      <c r="AH343" s="5"/>
    </row>
    <row r="344" spans="1:34" x14ac:dyDescent="0.3">
      <c r="A344" s="3"/>
      <c r="B344" s="3"/>
      <c r="C344" s="3"/>
      <c r="D344" s="3"/>
      <c r="E344" s="11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5"/>
      <c r="AH344" s="5"/>
    </row>
    <row r="345" spans="1:34" x14ac:dyDescent="0.3">
      <c r="A345" s="3"/>
      <c r="B345" s="3"/>
      <c r="C345" s="3"/>
      <c r="D345" s="3"/>
      <c r="E345" s="11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5"/>
      <c r="AH345" s="5"/>
    </row>
    <row r="346" spans="1:34" x14ac:dyDescent="0.3">
      <c r="A346" s="3"/>
      <c r="B346" s="3"/>
      <c r="C346" s="3"/>
      <c r="D346" s="3"/>
      <c r="E346" s="11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5"/>
      <c r="AH346" s="5"/>
    </row>
    <row r="347" spans="1:34" x14ac:dyDescent="0.3">
      <c r="A347" s="3"/>
      <c r="B347" s="3"/>
      <c r="C347" s="3"/>
      <c r="D347" s="3"/>
      <c r="E347" s="11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5"/>
      <c r="AH347" s="5"/>
    </row>
    <row r="348" spans="1:34" x14ac:dyDescent="0.3">
      <c r="A348" s="3"/>
      <c r="B348" s="3"/>
      <c r="C348" s="3"/>
      <c r="D348" s="3"/>
      <c r="E348" s="11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5"/>
      <c r="AH348" s="5"/>
    </row>
    <row r="349" spans="1:34" x14ac:dyDescent="0.3">
      <c r="A349" s="3"/>
      <c r="B349" s="3"/>
      <c r="C349" s="3"/>
      <c r="D349" s="3"/>
      <c r="E349" s="11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5"/>
      <c r="AH349" s="5"/>
    </row>
    <row r="350" spans="1:34" x14ac:dyDescent="0.3">
      <c r="A350" s="3"/>
      <c r="B350" s="3"/>
      <c r="C350" s="3"/>
      <c r="D350" s="3"/>
      <c r="E350" s="1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5"/>
      <c r="AH350" s="5"/>
    </row>
    <row r="351" spans="1:34" x14ac:dyDescent="0.3">
      <c r="A351" s="3"/>
      <c r="B351" s="3"/>
      <c r="C351" s="3"/>
      <c r="D351" s="3"/>
      <c r="E351" s="11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5"/>
      <c r="AH351" s="5"/>
    </row>
    <row r="352" spans="1:34" x14ac:dyDescent="0.3">
      <c r="A352" s="3"/>
      <c r="B352" s="3"/>
      <c r="C352" s="3"/>
      <c r="D352" s="3"/>
      <c r="E352" s="11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5"/>
      <c r="AH352" s="5"/>
    </row>
    <row r="353" spans="1:34" x14ac:dyDescent="0.3">
      <c r="A353" s="3"/>
      <c r="B353" s="3"/>
      <c r="C353" s="3"/>
      <c r="D353" s="3"/>
      <c r="E353" s="11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5"/>
      <c r="AH353" s="5"/>
    </row>
    <row r="354" spans="1:34" x14ac:dyDescent="0.3">
      <c r="A354" s="3"/>
      <c r="B354" s="3"/>
      <c r="C354" s="3"/>
      <c r="D354" s="3"/>
      <c r="E354" s="11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5"/>
      <c r="AH354" s="5"/>
    </row>
    <row r="355" spans="1:34" x14ac:dyDescent="0.3">
      <c r="A355" s="3"/>
      <c r="B355" s="3"/>
      <c r="C355" s="3"/>
      <c r="D355" s="3"/>
      <c r="E355" s="11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5"/>
      <c r="AH355" s="5"/>
    </row>
    <row r="356" spans="1:34" x14ac:dyDescent="0.3">
      <c r="A356" s="3"/>
      <c r="B356" s="3"/>
      <c r="C356" s="3"/>
      <c r="D356" s="3"/>
      <c r="E356" s="11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5"/>
      <c r="AH356" s="5"/>
    </row>
    <row r="357" spans="1:34" x14ac:dyDescent="0.3">
      <c r="A357" s="3"/>
      <c r="B357" s="3"/>
      <c r="C357" s="3"/>
      <c r="D357" s="3"/>
      <c r="E357" s="11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5"/>
      <c r="AH357" s="5"/>
    </row>
    <row r="358" spans="1:34" x14ac:dyDescent="0.3">
      <c r="A358" s="3"/>
      <c r="B358" s="3"/>
      <c r="C358" s="3"/>
      <c r="D358" s="3"/>
      <c r="E358" s="11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5"/>
      <c r="AH358" s="5"/>
    </row>
    <row r="359" spans="1:34" x14ac:dyDescent="0.3">
      <c r="A359" s="3"/>
      <c r="B359" s="3"/>
      <c r="C359" s="3"/>
      <c r="D359" s="3"/>
      <c r="E359" s="11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5"/>
      <c r="AH359" s="5"/>
    </row>
    <row r="360" spans="1:34" x14ac:dyDescent="0.3">
      <c r="A360" s="3"/>
      <c r="B360" s="3"/>
      <c r="C360" s="3"/>
      <c r="D360" s="3"/>
      <c r="E360" s="11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5"/>
      <c r="AH360" s="5"/>
    </row>
    <row r="361" spans="1:34" x14ac:dyDescent="0.3">
      <c r="A361" s="3"/>
      <c r="B361" s="3"/>
      <c r="C361" s="3"/>
      <c r="D361" s="3"/>
      <c r="E361" s="11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5"/>
      <c r="AH361" s="5"/>
    </row>
    <row r="362" spans="1:34" x14ac:dyDescent="0.3">
      <c r="A362" s="3"/>
      <c r="B362" s="3"/>
      <c r="C362" s="3"/>
      <c r="D362" s="3"/>
      <c r="E362" s="11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5"/>
      <c r="AH362" s="5"/>
    </row>
    <row r="363" spans="1:34" x14ac:dyDescent="0.3">
      <c r="A363" s="3"/>
      <c r="B363" s="3"/>
      <c r="C363" s="3"/>
      <c r="D363" s="3"/>
      <c r="E363" s="11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5"/>
      <c r="AH363" s="5"/>
    </row>
    <row r="364" spans="1:34" x14ac:dyDescent="0.3">
      <c r="A364" s="3"/>
      <c r="B364" s="3"/>
      <c r="C364" s="3"/>
      <c r="D364" s="3"/>
      <c r="E364" s="11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5"/>
      <c r="AH364" s="5"/>
    </row>
    <row r="365" spans="1:34" x14ac:dyDescent="0.3">
      <c r="A365" s="3"/>
      <c r="B365" s="3"/>
      <c r="C365" s="3"/>
      <c r="D365" s="3"/>
      <c r="E365" s="11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5"/>
      <c r="AH365" s="5"/>
    </row>
    <row r="366" spans="1:34" x14ac:dyDescent="0.3">
      <c r="A366" s="3"/>
      <c r="B366" s="3"/>
      <c r="C366" s="3"/>
      <c r="D366" s="3"/>
      <c r="E366" s="11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5"/>
      <c r="AH366" s="5"/>
    </row>
    <row r="367" spans="1:34" x14ac:dyDescent="0.3">
      <c r="A367" s="3"/>
      <c r="B367" s="3"/>
      <c r="C367" s="3"/>
      <c r="D367" s="3"/>
      <c r="E367" s="11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5"/>
      <c r="AH367" s="5"/>
    </row>
    <row r="368" spans="1:34" x14ac:dyDescent="0.3">
      <c r="A368" s="3"/>
      <c r="B368" s="3"/>
      <c r="C368" s="3"/>
      <c r="D368" s="3"/>
      <c r="E368" s="11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5"/>
      <c r="AH368" s="5"/>
    </row>
    <row r="369" spans="1:34" x14ac:dyDescent="0.3">
      <c r="A369" s="3"/>
      <c r="B369" s="3"/>
      <c r="C369" s="3"/>
      <c r="D369" s="3"/>
      <c r="E369" s="11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5"/>
      <c r="AH369" s="5"/>
    </row>
    <row r="370" spans="1:34" x14ac:dyDescent="0.3">
      <c r="A370" s="3"/>
      <c r="B370" s="3"/>
      <c r="C370" s="3"/>
      <c r="D370" s="3"/>
      <c r="E370" s="11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5"/>
      <c r="AH370" s="5"/>
    </row>
    <row r="371" spans="1:34" x14ac:dyDescent="0.3">
      <c r="A371" s="3"/>
      <c r="B371" s="3"/>
      <c r="C371" s="3"/>
      <c r="D371" s="3"/>
      <c r="E371" s="11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5"/>
      <c r="AH371" s="5"/>
    </row>
    <row r="372" spans="1:34" x14ac:dyDescent="0.3">
      <c r="A372" s="3"/>
      <c r="B372" s="3"/>
      <c r="C372" s="3"/>
      <c r="D372" s="3"/>
      <c r="E372" s="11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5"/>
      <c r="AH372" s="5"/>
    </row>
    <row r="373" spans="1:34" x14ac:dyDescent="0.3">
      <c r="A373" s="3"/>
      <c r="B373" s="3"/>
      <c r="C373" s="3"/>
      <c r="D373" s="3"/>
      <c r="E373" s="11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5"/>
      <c r="AH373" s="5"/>
    </row>
    <row r="374" spans="1:34" x14ac:dyDescent="0.3">
      <c r="A374" s="3"/>
      <c r="B374" s="3"/>
      <c r="C374" s="3"/>
      <c r="D374" s="3"/>
      <c r="E374" s="11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5"/>
      <c r="AH374" s="5"/>
    </row>
    <row r="375" spans="1:34" x14ac:dyDescent="0.3">
      <c r="A375" s="3"/>
      <c r="B375" s="3"/>
      <c r="C375" s="3"/>
      <c r="D375" s="3"/>
      <c r="E375" s="11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5"/>
      <c r="AH375" s="5"/>
    </row>
    <row r="376" spans="1:34" x14ac:dyDescent="0.3">
      <c r="A376" s="3"/>
      <c r="B376" s="3"/>
      <c r="C376" s="3"/>
      <c r="D376" s="3"/>
      <c r="E376" s="11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5"/>
      <c r="AH376" s="5"/>
    </row>
    <row r="377" spans="1:34" x14ac:dyDescent="0.3">
      <c r="A377" s="3"/>
      <c r="B377" s="3"/>
      <c r="C377" s="3"/>
      <c r="D377" s="3"/>
      <c r="E377" s="11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5"/>
      <c r="AH377" s="5"/>
    </row>
    <row r="378" spans="1:34" x14ac:dyDescent="0.3">
      <c r="A378" s="3"/>
      <c r="B378" s="3"/>
      <c r="C378" s="3"/>
      <c r="D378" s="3"/>
      <c r="E378" s="11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5"/>
      <c r="AH378" s="5"/>
    </row>
    <row r="379" spans="1:34" x14ac:dyDescent="0.3">
      <c r="A379" s="3"/>
      <c r="B379" s="3"/>
      <c r="C379" s="3"/>
      <c r="D379" s="3"/>
      <c r="E379" s="11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5"/>
      <c r="AH379" s="5"/>
    </row>
    <row r="380" spans="1:34" x14ac:dyDescent="0.3">
      <c r="A380" s="3"/>
      <c r="B380" s="3"/>
      <c r="C380" s="3"/>
      <c r="D380" s="3"/>
      <c r="E380" s="11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5"/>
      <c r="AH380" s="5"/>
    </row>
    <row r="381" spans="1:34" x14ac:dyDescent="0.3">
      <c r="A381" s="3"/>
      <c r="B381" s="3"/>
      <c r="C381" s="3"/>
      <c r="D381" s="3"/>
      <c r="E381" s="11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5"/>
      <c r="AH381" s="5"/>
    </row>
    <row r="382" spans="1:34" x14ac:dyDescent="0.3">
      <c r="A382" s="3"/>
      <c r="B382" s="3"/>
      <c r="C382" s="3"/>
      <c r="D382" s="3"/>
      <c r="E382" s="11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5"/>
      <c r="AH382" s="5"/>
    </row>
    <row r="383" spans="1:34" x14ac:dyDescent="0.3">
      <c r="A383" s="3"/>
      <c r="B383" s="3"/>
      <c r="C383" s="3"/>
      <c r="D383" s="3"/>
      <c r="E383" s="11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5"/>
      <c r="AH383" s="5"/>
    </row>
    <row r="384" spans="1:34" x14ac:dyDescent="0.3">
      <c r="A384" s="3"/>
      <c r="B384" s="3"/>
      <c r="C384" s="3"/>
      <c r="D384" s="3"/>
      <c r="E384" s="11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5"/>
      <c r="AH384" s="5"/>
    </row>
    <row r="385" spans="1:34" x14ac:dyDescent="0.3">
      <c r="A385" s="3"/>
      <c r="B385" s="3"/>
      <c r="C385" s="3"/>
      <c r="D385" s="3"/>
      <c r="E385" s="11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5"/>
      <c r="AH385" s="5"/>
    </row>
    <row r="386" spans="1:34" x14ac:dyDescent="0.3">
      <c r="A386" s="3"/>
      <c r="B386" s="3"/>
      <c r="C386" s="3"/>
      <c r="D386" s="3"/>
      <c r="E386" s="11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5"/>
      <c r="AH386" s="5"/>
    </row>
    <row r="387" spans="1:34" x14ac:dyDescent="0.3">
      <c r="A387" s="3"/>
      <c r="B387" s="3"/>
      <c r="C387" s="3"/>
      <c r="D387" s="3"/>
      <c r="E387" s="11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5"/>
      <c r="AH387" s="5"/>
    </row>
    <row r="388" spans="1:34" x14ac:dyDescent="0.3">
      <c r="A388" s="3"/>
      <c r="B388" s="3"/>
      <c r="C388" s="3"/>
      <c r="D388" s="3"/>
      <c r="E388" s="11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5"/>
      <c r="AH388" s="5"/>
    </row>
    <row r="389" spans="1:34" x14ac:dyDescent="0.3">
      <c r="A389" s="3"/>
      <c r="B389" s="3"/>
      <c r="C389" s="3"/>
      <c r="D389" s="3"/>
      <c r="E389" s="11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5"/>
      <c r="AH389" s="5"/>
    </row>
    <row r="390" spans="1:34" x14ac:dyDescent="0.3">
      <c r="A390" s="3"/>
      <c r="B390" s="3"/>
      <c r="C390" s="3"/>
      <c r="D390" s="3"/>
      <c r="E390" s="11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5"/>
      <c r="AH390" s="5"/>
    </row>
    <row r="391" spans="1:34" x14ac:dyDescent="0.3">
      <c r="A391" s="3"/>
      <c r="B391" s="3"/>
      <c r="C391" s="3"/>
      <c r="D391" s="3"/>
      <c r="E391" s="11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5"/>
      <c r="AH391" s="5"/>
    </row>
    <row r="392" spans="1:34" x14ac:dyDescent="0.3">
      <c r="A392" s="3"/>
      <c r="B392" s="3"/>
      <c r="C392" s="3"/>
      <c r="D392" s="3"/>
      <c r="E392" s="11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5"/>
      <c r="AH392" s="5"/>
    </row>
    <row r="393" spans="1:34" x14ac:dyDescent="0.3">
      <c r="A393" s="3"/>
      <c r="B393" s="3"/>
      <c r="C393" s="3"/>
      <c r="D393" s="3"/>
      <c r="E393" s="11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5"/>
      <c r="AH393" s="5"/>
    </row>
    <row r="394" spans="1:34" x14ac:dyDescent="0.3">
      <c r="A394" s="3"/>
      <c r="B394" s="3"/>
      <c r="C394" s="3"/>
      <c r="D394" s="3"/>
      <c r="E394" s="11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5"/>
      <c r="AH394" s="5"/>
    </row>
    <row r="395" spans="1:34" x14ac:dyDescent="0.3">
      <c r="A395" s="3"/>
      <c r="B395" s="3"/>
      <c r="C395" s="3"/>
      <c r="D395" s="3"/>
      <c r="E395" s="11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5"/>
      <c r="AH395" s="5"/>
    </row>
    <row r="396" spans="1:34" x14ac:dyDescent="0.3">
      <c r="A396" s="3"/>
      <c r="B396" s="3"/>
      <c r="C396" s="3"/>
      <c r="D396" s="3"/>
      <c r="E396" s="11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5"/>
      <c r="AH396" s="5"/>
    </row>
    <row r="397" spans="1:34" x14ac:dyDescent="0.3">
      <c r="A397" s="3"/>
      <c r="B397" s="3"/>
      <c r="C397" s="3"/>
      <c r="D397" s="3"/>
      <c r="E397" s="11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5"/>
      <c r="AH397" s="5"/>
    </row>
    <row r="398" spans="1:34" x14ac:dyDescent="0.3">
      <c r="A398" s="3"/>
      <c r="B398" s="3"/>
      <c r="C398" s="3"/>
      <c r="D398" s="3"/>
      <c r="E398" s="11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5"/>
      <c r="AH398" s="5"/>
    </row>
    <row r="399" spans="1:34" x14ac:dyDescent="0.3">
      <c r="A399" s="3"/>
      <c r="B399" s="3"/>
      <c r="C399" s="3"/>
      <c r="D399" s="3"/>
      <c r="E399" s="11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5"/>
      <c r="AH399" s="5"/>
    </row>
    <row r="400" spans="1:34" x14ac:dyDescent="0.3">
      <c r="A400" s="3"/>
      <c r="B400" s="3"/>
      <c r="C400" s="3"/>
      <c r="D400" s="3"/>
      <c r="E400" s="11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5"/>
      <c r="AH400" s="5"/>
    </row>
    <row r="401" spans="1:34" x14ac:dyDescent="0.3">
      <c r="A401" s="3"/>
      <c r="B401" s="3"/>
      <c r="C401" s="3"/>
      <c r="D401" s="3"/>
      <c r="E401" s="11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5"/>
      <c r="AH401" s="5"/>
    </row>
    <row r="402" spans="1:34" x14ac:dyDescent="0.3">
      <c r="A402" s="3"/>
      <c r="B402" s="3"/>
      <c r="C402" s="3"/>
      <c r="D402" s="3"/>
      <c r="E402" s="11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5"/>
      <c r="AH402" s="5"/>
    </row>
    <row r="403" spans="1:34" x14ac:dyDescent="0.3">
      <c r="A403" s="3"/>
      <c r="B403" s="3"/>
      <c r="C403" s="3"/>
      <c r="D403" s="3"/>
      <c r="E403" s="11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5"/>
      <c r="AH403" s="5"/>
    </row>
    <row r="404" spans="1:34" x14ac:dyDescent="0.3">
      <c r="A404" s="3"/>
      <c r="B404" s="3"/>
      <c r="C404" s="3"/>
      <c r="D404" s="3"/>
      <c r="E404" s="11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5"/>
      <c r="AH404" s="5"/>
    </row>
  </sheetData>
  <autoFilter ref="A4:AK156" xr:uid="{00000000-0001-0000-0000-000000000000}">
    <sortState xmlns:xlrd2="http://schemas.microsoft.com/office/spreadsheetml/2017/richdata2" ref="A5:AK156">
      <sortCondition ref="A4:A156"/>
    </sortState>
  </autoFilter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Listes!$A$1:$A$31</xm:f>
          </x14:formula1>
          <x14:formula2>
            <xm:f>0</xm:f>
          </x14:formula2>
          <xm:sqref>F5:F404</xm:sqref>
        </x14:dataValidation>
        <x14:dataValidation type="list" allowBlank="1" xr:uid="{00000000-0002-0000-0000-000001000000}">
          <x14:formula1>
            <xm:f>Listes!$B$1:$B$11</xm:f>
          </x14:formula1>
          <x14:formula2>
            <xm:f>0</xm:f>
          </x14:formula2>
          <xm:sqref>G5:G404</xm:sqref>
        </x14:dataValidation>
        <x14:dataValidation type="list" allowBlank="1" xr:uid="{00000000-0002-0000-0000-000002000000}">
          <x14:formula1>
            <xm:f>Listes!$C$1:$C$9</xm:f>
          </x14:formula1>
          <x14:formula2>
            <xm:f>0</xm:f>
          </x14:formula2>
          <xm:sqref>J5:J404</xm:sqref>
        </x14:dataValidation>
        <x14:dataValidation type="list" allowBlank="1" xr:uid="{00000000-0002-0000-0000-000003000000}">
          <x14:formula1>
            <xm:f>Listes!$D$1:$D$2</xm:f>
          </x14:formula1>
          <x14:formula2>
            <xm:f>0</xm:f>
          </x14:formula2>
          <xm:sqref>K5:K404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zoomScaleNormal="100" workbookViewId="0"/>
  </sheetViews>
  <sheetFormatPr baseColWidth="10" defaultColWidth="8.6640625" defaultRowHeight="14.4" x14ac:dyDescent="0.3"/>
  <sheetData>
    <row r="1" spans="1:4" x14ac:dyDescent="0.3">
      <c r="A1" t="s">
        <v>30</v>
      </c>
      <c r="B1" t="s">
        <v>31</v>
      </c>
      <c r="C1" t="s">
        <v>32</v>
      </c>
      <c r="D1" t="s">
        <v>33</v>
      </c>
    </row>
    <row r="2" spans="1:4" x14ac:dyDescent="0.3">
      <c r="A2" t="s">
        <v>34</v>
      </c>
      <c r="B2" t="s">
        <v>35</v>
      </c>
      <c r="C2" t="s">
        <v>36</v>
      </c>
      <c r="D2" t="s">
        <v>37</v>
      </c>
    </row>
    <row r="3" spans="1:4" x14ac:dyDescent="0.3">
      <c r="A3" t="s">
        <v>38</v>
      </c>
      <c r="B3" t="s">
        <v>39</v>
      </c>
      <c r="C3" t="s">
        <v>40</v>
      </c>
    </row>
    <row r="4" spans="1:4" x14ac:dyDescent="0.3">
      <c r="A4" t="s">
        <v>41</v>
      </c>
      <c r="B4" t="s">
        <v>42</v>
      </c>
      <c r="C4" t="s">
        <v>43</v>
      </c>
    </row>
    <row r="5" spans="1:4" x14ac:dyDescent="0.3">
      <c r="A5" t="s">
        <v>44</v>
      </c>
      <c r="B5" t="s">
        <v>45</v>
      </c>
      <c r="C5" t="s">
        <v>46</v>
      </c>
    </row>
    <row r="6" spans="1:4" x14ac:dyDescent="0.3">
      <c r="A6" t="s">
        <v>47</v>
      </c>
      <c r="B6" t="s">
        <v>48</v>
      </c>
      <c r="C6" t="s">
        <v>49</v>
      </c>
    </row>
    <row r="7" spans="1:4" x14ac:dyDescent="0.3">
      <c r="A7" t="s">
        <v>50</v>
      </c>
      <c r="B7" t="s">
        <v>51</v>
      </c>
      <c r="C7" t="s">
        <v>52</v>
      </c>
    </row>
    <row r="8" spans="1:4" x14ac:dyDescent="0.3">
      <c r="A8" t="s">
        <v>53</v>
      </c>
      <c r="B8" t="s">
        <v>54</v>
      </c>
      <c r="C8" t="s">
        <v>55</v>
      </c>
    </row>
    <row r="9" spans="1:4" x14ac:dyDescent="0.3">
      <c r="A9" t="s">
        <v>56</v>
      </c>
      <c r="B9" t="s">
        <v>57</v>
      </c>
      <c r="C9" t="s">
        <v>58</v>
      </c>
    </row>
    <row r="10" spans="1:4" x14ac:dyDescent="0.3">
      <c r="A10" t="s">
        <v>59</v>
      </c>
      <c r="B10" t="s">
        <v>60</v>
      </c>
    </row>
    <row r="11" spans="1:4" x14ac:dyDescent="0.3">
      <c r="A11" t="s">
        <v>61</v>
      </c>
      <c r="B11" t="s">
        <v>62</v>
      </c>
    </row>
    <row r="12" spans="1:4" x14ac:dyDescent="0.3">
      <c r="A12" t="s">
        <v>63</v>
      </c>
    </row>
    <row r="13" spans="1:4" x14ac:dyDescent="0.3">
      <c r="A13" t="s">
        <v>64</v>
      </c>
    </row>
    <row r="14" spans="1:4" x14ac:dyDescent="0.3">
      <c r="A14" t="s">
        <v>65</v>
      </c>
    </row>
    <row r="15" spans="1:4" x14ac:dyDescent="0.3">
      <c r="A15" t="s">
        <v>48</v>
      </c>
    </row>
    <row r="16" spans="1:4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zoomScale="91" zoomScaleNormal="100" workbookViewId="0">
      <pane ySplit="3" topLeftCell="A6" activePane="bottomLeft" state="frozen"/>
      <selection pane="bottomLeft" activeCell="G14" sqref="G14"/>
    </sheetView>
  </sheetViews>
  <sheetFormatPr baseColWidth="10" defaultColWidth="8.6640625" defaultRowHeight="14.4" x14ac:dyDescent="0.3"/>
  <cols>
    <col min="1" max="1" width="22" customWidth="1"/>
    <col min="2" max="2" width="16" customWidth="1"/>
    <col min="3" max="3" width="12" customWidth="1"/>
    <col min="4" max="4" width="18" customWidth="1"/>
    <col min="5" max="5" width="49.21875" bestFit="1" customWidth="1"/>
  </cols>
  <sheetData>
    <row r="1" spans="1:10" x14ac:dyDescent="0.3">
      <c r="A1" s="6" t="s">
        <v>82</v>
      </c>
    </row>
    <row r="3" spans="1:10" x14ac:dyDescent="0.3">
      <c r="A3" s="1" t="s">
        <v>83</v>
      </c>
      <c r="B3" s="1" t="s">
        <v>84</v>
      </c>
      <c r="C3" s="1" t="s">
        <v>85</v>
      </c>
      <c r="D3" s="1" t="s">
        <v>86</v>
      </c>
      <c r="E3" s="1" t="s">
        <v>154</v>
      </c>
      <c r="F3" s="1" t="s">
        <v>151</v>
      </c>
      <c r="G3" s="1" t="s">
        <v>152</v>
      </c>
      <c r="H3" s="1" t="s">
        <v>153</v>
      </c>
      <c r="I3" s="1" t="s">
        <v>213</v>
      </c>
    </row>
    <row r="4" spans="1:10" x14ac:dyDescent="0.3">
      <c r="A4" s="7" t="s">
        <v>1</v>
      </c>
      <c r="B4" s="8" t="s">
        <v>87</v>
      </c>
      <c r="C4" s="8" t="s">
        <v>88</v>
      </c>
      <c r="D4" s="8" t="s">
        <v>89</v>
      </c>
      <c r="E4" t="s">
        <v>155</v>
      </c>
      <c r="J4" t="s">
        <v>214</v>
      </c>
    </row>
    <row r="5" spans="1:10" x14ac:dyDescent="0.3">
      <c r="A5" s="7" t="s">
        <v>122</v>
      </c>
      <c r="B5" s="8" t="s">
        <v>87</v>
      </c>
      <c r="C5" s="8" t="s">
        <v>90</v>
      </c>
      <c r="D5" s="8" t="s">
        <v>89</v>
      </c>
      <c r="E5" t="s">
        <v>156</v>
      </c>
      <c r="H5" s="10"/>
      <c r="J5" t="s">
        <v>212</v>
      </c>
    </row>
    <row r="6" spans="1:10" x14ac:dyDescent="0.3">
      <c r="A6" s="7" t="s">
        <v>3</v>
      </c>
      <c r="B6" s="8" t="s">
        <v>87</v>
      </c>
      <c r="C6" s="8" t="s">
        <v>88</v>
      </c>
      <c r="D6" s="8" t="s">
        <v>89</v>
      </c>
      <c r="E6" t="s">
        <v>157</v>
      </c>
      <c r="H6" s="10"/>
      <c r="J6" t="s">
        <v>212</v>
      </c>
    </row>
    <row r="7" spans="1:10" x14ac:dyDescent="0.3">
      <c r="A7" s="7" t="s">
        <v>123</v>
      </c>
      <c r="B7" s="8" t="s">
        <v>87</v>
      </c>
      <c r="C7" s="8" t="s">
        <v>91</v>
      </c>
      <c r="D7" s="8" t="s">
        <v>92</v>
      </c>
      <c r="E7" t="s">
        <v>158</v>
      </c>
      <c r="H7" s="10"/>
      <c r="J7" t="s">
        <v>212</v>
      </c>
    </row>
    <row r="8" spans="1:10" x14ac:dyDescent="0.3">
      <c r="A8" s="7" t="s">
        <v>5</v>
      </c>
      <c r="B8" s="8" t="s">
        <v>87</v>
      </c>
      <c r="C8" s="8" t="s">
        <v>93</v>
      </c>
      <c r="D8" s="8" t="s">
        <v>93</v>
      </c>
      <c r="E8" t="s">
        <v>159</v>
      </c>
      <c r="F8" s="10"/>
      <c r="J8" t="s">
        <v>212</v>
      </c>
    </row>
    <row r="9" spans="1:10" x14ac:dyDescent="0.3">
      <c r="A9" s="7" t="s">
        <v>124</v>
      </c>
      <c r="B9" s="8" t="s">
        <v>149</v>
      </c>
      <c r="C9" s="8" t="s">
        <v>90</v>
      </c>
      <c r="D9" s="8" t="s">
        <v>89</v>
      </c>
      <c r="E9" t="s">
        <v>160</v>
      </c>
      <c r="F9" s="10"/>
      <c r="H9" s="10"/>
      <c r="J9" t="s">
        <v>212</v>
      </c>
    </row>
    <row r="10" spans="1:10" x14ac:dyDescent="0.3">
      <c r="A10" s="7" t="s">
        <v>125</v>
      </c>
      <c r="B10" s="8" t="s">
        <v>149</v>
      </c>
      <c r="C10" s="8" t="s">
        <v>90</v>
      </c>
      <c r="D10" s="8" t="s">
        <v>89</v>
      </c>
      <c r="E10" t="s">
        <v>161</v>
      </c>
      <c r="F10" s="10"/>
      <c r="H10" s="10"/>
      <c r="J10" t="s">
        <v>212</v>
      </c>
    </row>
    <row r="11" spans="1:10" x14ac:dyDescent="0.3">
      <c r="A11" s="7" t="s">
        <v>126</v>
      </c>
      <c r="B11" s="8" t="s">
        <v>149</v>
      </c>
      <c r="C11" s="8" t="s">
        <v>91</v>
      </c>
      <c r="D11" s="8" t="s">
        <v>94</v>
      </c>
      <c r="E11" t="s">
        <v>162</v>
      </c>
      <c r="F11" s="10"/>
      <c r="H11" s="10"/>
      <c r="J11" t="s">
        <v>212</v>
      </c>
    </row>
    <row r="12" spans="1:10" x14ac:dyDescent="0.3">
      <c r="A12" s="7" t="s">
        <v>127</v>
      </c>
      <c r="B12" s="8" t="s">
        <v>149</v>
      </c>
      <c r="C12" s="8" t="s">
        <v>91</v>
      </c>
      <c r="D12" s="8" t="s">
        <v>95</v>
      </c>
      <c r="E12" t="s">
        <v>163</v>
      </c>
      <c r="F12" s="10"/>
      <c r="G12" s="10"/>
      <c r="H12" s="10"/>
      <c r="J12" t="s">
        <v>217</v>
      </c>
    </row>
    <row r="13" spans="1:10" x14ac:dyDescent="0.3">
      <c r="A13" s="7" t="s">
        <v>128</v>
      </c>
      <c r="B13" s="8" t="s">
        <v>149</v>
      </c>
      <c r="C13" s="8" t="s">
        <v>90</v>
      </c>
      <c r="D13" s="8" t="s">
        <v>89</v>
      </c>
      <c r="E13" t="s">
        <v>164</v>
      </c>
      <c r="G13" s="10"/>
      <c r="H13" s="10"/>
      <c r="J13" t="s">
        <v>212</v>
      </c>
    </row>
    <row r="14" spans="1:10" x14ac:dyDescent="0.3">
      <c r="A14" s="7" t="s">
        <v>10</v>
      </c>
      <c r="B14" s="8" t="s">
        <v>149</v>
      </c>
      <c r="C14" s="8" t="s">
        <v>90</v>
      </c>
      <c r="D14" s="8" t="s">
        <v>96</v>
      </c>
      <c r="E14" t="s">
        <v>165</v>
      </c>
      <c r="F14" s="10"/>
      <c r="G14" s="10"/>
    </row>
    <row r="15" spans="1:10" x14ac:dyDescent="0.3">
      <c r="A15" s="7" t="s">
        <v>129</v>
      </c>
      <c r="B15" s="8" t="s">
        <v>149</v>
      </c>
      <c r="C15" s="8" t="s">
        <v>91</v>
      </c>
      <c r="D15" s="8" t="s">
        <v>97</v>
      </c>
      <c r="E15" t="s">
        <v>166</v>
      </c>
      <c r="G15" s="10"/>
    </row>
    <row r="16" spans="1:10" x14ac:dyDescent="0.3">
      <c r="A16" s="7" t="s">
        <v>12</v>
      </c>
      <c r="B16" s="8" t="s">
        <v>149</v>
      </c>
      <c r="C16" s="8" t="s">
        <v>91</v>
      </c>
      <c r="D16" s="8" t="s">
        <v>98</v>
      </c>
      <c r="E16" t="s">
        <v>167</v>
      </c>
      <c r="F16" s="10"/>
      <c r="G16" s="10"/>
      <c r="H16" s="10"/>
    </row>
    <row r="17" spans="1:10" x14ac:dyDescent="0.3">
      <c r="A17" s="7" t="s">
        <v>13</v>
      </c>
      <c r="B17" s="8" t="s">
        <v>149</v>
      </c>
      <c r="C17" s="8" t="s">
        <v>91</v>
      </c>
      <c r="D17" s="8" t="s">
        <v>98</v>
      </c>
      <c r="E17" t="s">
        <v>168</v>
      </c>
      <c r="F17" s="10"/>
    </row>
    <row r="18" spans="1:10" x14ac:dyDescent="0.3">
      <c r="A18" s="7" t="s">
        <v>14</v>
      </c>
      <c r="B18" s="8" t="s">
        <v>149</v>
      </c>
      <c r="C18" s="8" t="s">
        <v>91</v>
      </c>
      <c r="D18" s="8" t="s">
        <v>98</v>
      </c>
      <c r="E18" t="s">
        <v>169</v>
      </c>
      <c r="F18" s="10"/>
    </row>
    <row r="19" spans="1:10" x14ac:dyDescent="0.3">
      <c r="A19" s="7" t="s">
        <v>132</v>
      </c>
      <c r="B19" s="8" t="s">
        <v>149</v>
      </c>
      <c r="C19" s="8" t="s">
        <v>91</v>
      </c>
      <c r="D19" s="8" t="s">
        <v>99</v>
      </c>
      <c r="E19" t="s">
        <v>170</v>
      </c>
      <c r="G19" s="10"/>
    </row>
    <row r="20" spans="1:10" x14ac:dyDescent="0.3">
      <c r="A20" s="7" t="s">
        <v>130</v>
      </c>
      <c r="B20" s="8" t="s">
        <v>149</v>
      </c>
      <c r="C20" s="8" t="s">
        <v>91</v>
      </c>
      <c r="D20" s="8" t="s">
        <v>89</v>
      </c>
      <c r="E20" t="s">
        <v>171</v>
      </c>
      <c r="F20" s="10"/>
      <c r="G20" s="10"/>
    </row>
    <row r="21" spans="1:10" x14ac:dyDescent="0.3">
      <c r="A21" s="7" t="s">
        <v>131</v>
      </c>
      <c r="B21" s="8" t="s">
        <v>149</v>
      </c>
      <c r="C21" s="8" t="s">
        <v>91</v>
      </c>
      <c r="D21" s="8" t="s">
        <v>89</v>
      </c>
      <c r="E21" t="s">
        <v>172</v>
      </c>
      <c r="F21" s="10"/>
      <c r="H21" s="10"/>
      <c r="J21" t="s">
        <v>212</v>
      </c>
    </row>
    <row r="22" spans="1:10" x14ac:dyDescent="0.3">
      <c r="A22" s="7" t="s">
        <v>133</v>
      </c>
      <c r="B22" s="8" t="s">
        <v>149</v>
      </c>
      <c r="C22" s="8" t="s">
        <v>91</v>
      </c>
      <c r="D22" s="8" t="s">
        <v>100</v>
      </c>
      <c r="E22" t="s">
        <v>173</v>
      </c>
      <c r="F22" s="10"/>
      <c r="J22" t="s">
        <v>212</v>
      </c>
    </row>
    <row r="23" spans="1:10" x14ac:dyDescent="0.3">
      <c r="A23" s="7" t="s">
        <v>134</v>
      </c>
      <c r="B23" s="8" t="s">
        <v>149</v>
      </c>
      <c r="C23" s="8" t="s">
        <v>91</v>
      </c>
      <c r="D23" s="8" t="s">
        <v>101</v>
      </c>
      <c r="E23" t="s">
        <v>174</v>
      </c>
      <c r="F23" s="10"/>
      <c r="J23" t="s">
        <v>212</v>
      </c>
    </row>
    <row r="24" spans="1:10" x14ac:dyDescent="0.3">
      <c r="A24" s="7" t="s">
        <v>135</v>
      </c>
      <c r="B24" s="8" t="s">
        <v>149</v>
      </c>
      <c r="C24" s="8" t="s">
        <v>91</v>
      </c>
      <c r="D24" s="8" t="s">
        <v>99</v>
      </c>
      <c r="E24" t="s">
        <v>175</v>
      </c>
      <c r="F24" s="10"/>
      <c r="J24" t="s">
        <v>212</v>
      </c>
    </row>
    <row r="25" spans="1:10" x14ac:dyDescent="0.3">
      <c r="A25" s="7" t="s">
        <v>136</v>
      </c>
      <c r="B25" s="8" t="s">
        <v>149</v>
      </c>
      <c r="C25" s="8" t="s">
        <v>91</v>
      </c>
      <c r="D25" s="8" t="s">
        <v>99</v>
      </c>
      <c r="E25" t="s">
        <v>176</v>
      </c>
      <c r="F25" s="10"/>
      <c r="J25" t="s">
        <v>212</v>
      </c>
    </row>
    <row r="26" spans="1:10" x14ac:dyDescent="0.3">
      <c r="A26" s="7" t="s">
        <v>137</v>
      </c>
      <c r="B26" s="8" t="s">
        <v>149</v>
      </c>
      <c r="C26" s="8" t="s">
        <v>91</v>
      </c>
      <c r="D26" s="8" t="s">
        <v>99</v>
      </c>
      <c r="E26" t="s">
        <v>177</v>
      </c>
      <c r="F26" s="10"/>
      <c r="J26" t="s">
        <v>212</v>
      </c>
    </row>
    <row r="27" spans="1:10" x14ac:dyDescent="0.3">
      <c r="A27" s="7" t="s">
        <v>138</v>
      </c>
      <c r="B27" s="8" t="s">
        <v>149</v>
      </c>
      <c r="C27" s="8" t="s">
        <v>91</v>
      </c>
      <c r="D27" s="8" t="s">
        <v>100</v>
      </c>
      <c r="E27" t="s">
        <v>178</v>
      </c>
      <c r="F27" s="10"/>
      <c r="J27" t="s">
        <v>212</v>
      </c>
    </row>
    <row r="28" spans="1:10" x14ac:dyDescent="0.3">
      <c r="A28" s="7" t="s">
        <v>139</v>
      </c>
      <c r="B28" s="8" t="s">
        <v>149</v>
      </c>
      <c r="C28" s="8" t="s">
        <v>91</v>
      </c>
      <c r="D28" s="8" t="s">
        <v>102</v>
      </c>
      <c r="E28" t="s">
        <v>179</v>
      </c>
      <c r="F28" s="10"/>
      <c r="J28" t="s">
        <v>212</v>
      </c>
    </row>
    <row r="29" spans="1:10" x14ac:dyDescent="0.3">
      <c r="A29" s="7" t="s">
        <v>140</v>
      </c>
      <c r="B29" s="8" t="s">
        <v>149</v>
      </c>
      <c r="C29" s="8" t="s">
        <v>91</v>
      </c>
      <c r="D29" s="8" t="s">
        <v>103</v>
      </c>
      <c r="E29" t="s">
        <v>180</v>
      </c>
      <c r="F29" s="10"/>
    </row>
    <row r="30" spans="1:10" x14ac:dyDescent="0.3">
      <c r="A30" s="7" t="s">
        <v>141</v>
      </c>
      <c r="B30" s="8" t="s">
        <v>149</v>
      </c>
      <c r="C30" s="8" t="s">
        <v>91</v>
      </c>
      <c r="D30" s="8" t="s">
        <v>104</v>
      </c>
      <c r="E30" t="s">
        <v>181</v>
      </c>
      <c r="F30" s="10"/>
      <c r="J30" t="s">
        <v>212</v>
      </c>
    </row>
    <row r="31" spans="1:10" x14ac:dyDescent="0.3">
      <c r="A31" s="7" t="s">
        <v>142</v>
      </c>
      <c r="B31" s="8" t="s">
        <v>149</v>
      </c>
      <c r="C31" s="8" t="s">
        <v>91</v>
      </c>
      <c r="D31" s="8" t="s">
        <v>103</v>
      </c>
      <c r="E31" t="s">
        <v>182</v>
      </c>
      <c r="F31" s="10"/>
      <c r="G31" s="10"/>
      <c r="H31" s="10"/>
      <c r="J31" t="s">
        <v>212</v>
      </c>
    </row>
    <row r="32" spans="1:10" x14ac:dyDescent="0.3">
      <c r="A32" s="7" t="s">
        <v>143</v>
      </c>
      <c r="B32" s="8" t="s">
        <v>149</v>
      </c>
      <c r="C32" s="8" t="s">
        <v>91</v>
      </c>
      <c r="D32" s="8" t="s">
        <v>105</v>
      </c>
      <c r="E32" t="s">
        <v>183</v>
      </c>
      <c r="F32" s="10"/>
      <c r="G32" s="10"/>
      <c r="J32" t="s">
        <v>212</v>
      </c>
    </row>
    <row r="33" spans="1:10" x14ac:dyDescent="0.3">
      <c r="A33" s="7" t="s">
        <v>144</v>
      </c>
      <c r="B33" s="8" t="s">
        <v>149</v>
      </c>
      <c r="C33" s="8" t="s">
        <v>91</v>
      </c>
      <c r="D33" s="8" t="s">
        <v>106</v>
      </c>
      <c r="E33" t="s">
        <v>184</v>
      </c>
      <c r="F33" s="10"/>
      <c r="G33" s="10"/>
      <c r="J33" t="s">
        <v>212</v>
      </c>
    </row>
    <row r="34" spans="1:10" x14ac:dyDescent="0.3">
      <c r="A34" s="7" t="s">
        <v>145</v>
      </c>
      <c r="B34" s="8" t="s">
        <v>149</v>
      </c>
      <c r="C34" s="8" t="s">
        <v>91</v>
      </c>
      <c r="D34" s="8" t="s">
        <v>107</v>
      </c>
      <c r="E34" t="s">
        <v>185</v>
      </c>
      <c r="F34" s="10"/>
      <c r="G34" s="10"/>
    </row>
    <row r="35" spans="1:10" x14ac:dyDescent="0.3">
      <c r="A35" s="7" t="s">
        <v>146</v>
      </c>
      <c r="B35" s="8" t="s">
        <v>149</v>
      </c>
      <c r="C35" s="8" t="s">
        <v>91</v>
      </c>
      <c r="D35" s="8" t="s">
        <v>99</v>
      </c>
      <c r="E35" t="s">
        <v>186</v>
      </c>
      <c r="F35" s="10"/>
      <c r="J35" t="s">
        <v>212</v>
      </c>
    </row>
    <row r="36" spans="1:10" x14ac:dyDescent="0.3">
      <c r="A36" s="7" t="s">
        <v>147</v>
      </c>
      <c r="B36" s="8" t="s">
        <v>149</v>
      </c>
      <c r="C36" s="8" t="s">
        <v>91</v>
      </c>
      <c r="D36" s="8" t="s">
        <v>108</v>
      </c>
      <c r="E36" t="s">
        <v>187</v>
      </c>
      <c r="F36" s="10"/>
    </row>
    <row r="37" spans="1:10" x14ac:dyDescent="0.3">
      <c r="A37" s="7" t="s">
        <v>28</v>
      </c>
      <c r="B37" s="8" t="s">
        <v>109</v>
      </c>
      <c r="C37" s="8" t="s">
        <v>91</v>
      </c>
      <c r="D37" s="8" t="s">
        <v>110</v>
      </c>
      <c r="E37" t="s">
        <v>188</v>
      </c>
    </row>
    <row r="38" spans="1:10" x14ac:dyDescent="0.3">
      <c r="A38" s="7" t="s">
        <v>29</v>
      </c>
      <c r="B38" s="8" t="s">
        <v>111</v>
      </c>
      <c r="C38" s="8" t="s">
        <v>91</v>
      </c>
      <c r="D38" s="8" t="s">
        <v>112</v>
      </c>
      <c r="E38" t="s">
        <v>189</v>
      </c>
    </row>
    <row r="39" spans="1:10" x14ac:dyDescent="0.3">
      <c r="F39" t="s">
        <v>195</v>
      </c>
      <c r="G39" t="s">
        <v>191</v>
      </c>
      <c r="H39" t="s">
        <v>190</v>
      </c>
    </row>
    <row r="40" spans="1:10" x14ac:dyDescent="0.3">
      <c r="F40" t="s">
        <v>194</v>
      </c>
      <c r="G40" t="s">
        <v>193</v>
      </c>
      <c r="H40" t="s">
        <v>192</v>
      </c>
    </row>
    <row r="43" spans="1:10" x14ac:dyDescent="0.3">
      <c r="A43" t="s">
        <v>215</v>
      </c>
    </row>
    <row r="44" spans="1:10" x14ac:dyDescent="0.3">
      <c r="A44" t="s">
        <v>216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zoomScaleNormal="100" workbookViewId="0">
      <selection activeCell="A3" sqref="A3:A11"/>
    </sheetView>
  </sheetViews>
  <sheetFormatPr baseColWidth="10" defaultColWidth="8.6640625" defaultRowHeight="14.4" x14ac:dyDescent="0.3"/>
  <cols>
    <col min="1" max="1" width="110" customWidth="1"/>
  </cols>
  <sheetData>
    <row r="1" spans="1:1" x14ac:dyDescent="0.3">
      <c r="A1" s="6" t="s">
        <v>113</v>
      </c>
    </row>
    <row r="3" spans="1:1" x14ac:dyDescent="0.3">
      <c r="A3" s="9" t="s">
        <v>150</v>
      </c>
    </row>
    <row r="4" spans="1:1" x14ac:dyDescent="0.3">
      <c r="A4" s="9" t="s">
        <v>114</v>
      </c>
    </row>
    <row r="5" spans="1:1" x14ac:dyDescent="0.3">
      <c r="A5" s="9" t="s">
        <v>115</v>
      </c>
    </row>
    <row r="6" spans="1:1" x14ac:dyDescent="0.3">
      <c r="A6" s="9" t="s">
        <v>116</v>
      </c>
    </row>
    <row r="7" spans="1:1" x14ac:dyDescent="0.3">
      <c r="A7" s="9" t="s">
        <v>117</v>
      </c>
    </row>
    <row r="8" spans="1:1" x14ac:dyDescent="0.3">
      <c r="A8" s="9" t="s">
        <v>118</v>
      </c>
    </row>
    <row r="9" spans="1:1" x14ac:dyDescent="0.3">
      <c r="A9" s="9" t="s">
        <v>119</v>
      </c>
    </row>
    <row r="10" spans="1:1" x14ac:dyDescent="0.3">
      <c r="A10" s="9" t="s">
        <v>120</v>
      </c>
    </row>
    <row r="11" spans="1:1" x14ac:dyDescent="0.3">
      <c r="A11" s="9" t="s">
        <v>121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Donnees_plates</vt:lpstr>
      <vt:lpstr>Listes</vt:lpstr>
      <vt:lpstr>Dictionnaire_colonnes</vt:lpstr>
      <vt:lpstr>Notes_Weka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DANIELA JACQUELINE ZÚÑIGA JIMÉNEZ</cp:lastModifiedBy>
  <cp:revision>0</cp:revision>
  <dcterms:created xsi:type="dcterms:W3CDTF">2026-06-12T12:33:37Z</dcterms:created>
  <dcterms:modified xsi:type="dcterms:W3CDTF">2026-06-19T14:50:39Z</dcterms:modified>
  <dc:language>en-US</dc:language>
</cp:coreProperties>
</file>